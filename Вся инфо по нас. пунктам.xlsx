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orever flud\Downloads\"/>
    </mc:Choice>
  </mc:AlternateContent>
  <xr:revisionPtr revIDLastSave="0" documentId="13_ncr:1_{CD6EDB52-A4FF-49C3-A37B-773B0EC2A03C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Дистанции" sheetId="1" r:id="rId1"/>
    <sheet name="Фактории" sheetId="2" r:id="rId2"/>
    <sheet name="Хабы" sheetId="3" r:id="rId3"/>
  </sheets>
  <definedNames>
    <definedName name="ExternalData_1" localSheetId="0">Дистанции!$A$1:$AJ$36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2" l="1"/>
</calcChain>
</file>

<file path=xl/sharedStrings.xml><?xml version="1.0" encoding="utf-8"?>
<sst xmlns="http://schemas.openxmlformats.org/spreadsheetml/2006/main" count="299" uniqueCount="166">
  <si>
    <t>Название</t>
  </si>
  <si>
    <t>Паюта</t>
  </si>
  <si>
    <t>Стёпина</t>
  </si>
  <si>
    <t>96 км ж/д Обская - Бованенково</t>
  </si>
  <si>
    <t>Фактория "Район Приуральский"</t>
  </si>
  <si>
    <t>Лонгот</t>
  </si>
  <si>
    <t>Быстринка</t>
  </si>
  <si>
    <t>Халмер-Яха</t>
  </si>
  <si>
    <t>5-6 Пески</t>
  </si>
  <si>
    <t>Мессо</t>
  </si>
  <si>
    <t>Юрибей 1</t>
  </si>
  <si>
    <t>Танамо</t>
  </si>
  <si>
    <t>Хадыта</t>
  </si>
  <si>
    <t>Тарко-Сале</t>
  </si>
  <si>
    <t>Хаданто</t>
  </si>
  <si>
    <t>Тамбей</t>
  </si>
  <si>
    <t>Яхады-Яха</t>
  </si>
  <si>
    <t>Усть-Юрибей</t>
  </si>
  <si>
    <t>Лидино</t>
  </si>
  <si>
    <t>Харп</t>
  </si>
  <si>
    <t>Хута-Яха</t>
  </si>
  <si>
    <t>Салпада</t>
  </si>
  <si>
    <t>Матюй-Яха</t>
  </si>
  <si>
    <t>Юдэ-то</t>
  </si>
  <si>
    <t>Юрибей 2</t>
  </si>
  <si>
    <t>вахтовый посёлок Бованенково</t>
  </si>
  <si>
    <t>село Красноселькуп</t>
  </si>
  <si>
    <t>город Надым</t>
  </si>
  <si>
    <t>город Новый Уренгой</t>
  </si>
  <si>
    <t>город Ноябрьск</t>
  </si>
  <si>
    <t>вахтовый посёлок Сабетта</t>
  </si>
  <si>
    <t>город Салехард</t>
  </si>
  <si>
    <t>село Толька</t>
  </si>
  <si>
    <t>посёлок городского типа Уренгой</t>
  </si>
  <si>
    <t>аэропорт Утренний</t>
  </si>
  <si>
    <t>посёлок Ямбург</t>
  </si>
  <si>
    <r>
      <rPr>
        <sz val="11"/>
        <color theme="1"/>
        <rFont val="Calibri"/>
      </rPr>
      <t>Расчет выполнен по формуле для идеальной сферы (по прямой). Поскольку Земля имеет форму эллипсоида,</t>
    </r>
    <r>
      <rPr>
        <b/>
        <sz val="11"/>
        <color theme="1"/>
        <rFont val="Calibri"/>
      </rPr>
      <t xml:space="preserve"> математическая погрешность составляет около 0,3–0,5%.</t>
    </r>
  </si>
  <si>
    <t>Важно: Это расстояние «по воздуху» (ортодромия), оно не учитывает рельеф местности и изгибы реальных транспортных путей.</t>
  </si>
  <si>
    <t>Приуральский район</t>
  </si>
  <si>
    <t>Инфраструктура</t>
  </si>
  <si>
    <t>Транспорт</t>
  </si>
  <si>
    <t>Моб. связь</t>
  </si>
  <si>
    <t>Интернет</t>
  </si>
  <si>
    <t>Кол-во посещений</t>
  </si>
  <si>
    <t>круглогодичное</t>
  </si>
  <si>
    <t>67.9560339, 68.5587752</t>
  </si>
  <si>
    <t>Дизельная электростанция, емкость для хранения ГСМ, магазин, пекарня, склад холодный</t>
  </si>
  <si>
    <t>Автодороги;Автозимники. Фактория расположена в непосредственной близости к технологической дороге «ст. Обская-ст.Бованенково», вблизи путей необщего пользования ж/д «ст. Обская – ст. Карская». Расстояние от ст. Обская составляет 187 км.</t>
  </si>
  <si>
    <t>да</t>
  </si>
  <si>
    <t>67.6769722, 67.9805417</t>
  </si>
  <si>
    <t>Холодильник, дизельная электростанция, емкость под ГСМ, морозильное оборудование</t>
  </si>
  <si>
    <t>Автодороги, автозимники. Фактория расположена в непосредственной близости к технологической дороге «ст. Обская-ст.Бованенково», вблизи путей необщего пользования ж/д «ст. Обская – ст. Карская». Расстояние от ст. Обская составляет 143 километра</t>
  </si>
  <si>
    <t>нет</t>
  </si>
  <si>
    <t>67.4710992, 67.4310749</t>
  </si>
  <si>
    <t>Баня-санузел, склад, кухня-столовая, здравпункт, холодный склад</t>
  </si>
  <si>
    <t>ЖД;Автодороги;Автозимники. Фактория расположена в непосредственной близости к технологической дороге «ст. Обская-ст.Бованенково», вблизи путей необщего пользования ж/д «ст. Обская – ст. Карская». Расстояние от ст. Обская составляет 102 км.</t>
  </si>
  <si>
    <t>да, неустойчивая</t>
  </si>
  <si>
    <t>апрель-ноябрь</t>
  </si>
  <si>
    <t>68.1219990, 65.3346760</t>
  </si>
  <si>
    <t>Баня, здание дизельной электростанции, емкость для хранения ГСМ, магазин, пекарня, склад холодный, склад из 2х модулей</t>
  </si>
  <si>
    <t>Технологическая дорога газопровода Бованенково - Ухта, круглогодично связывает с городом Воркута</t>
  </si>
  <si>
    <t>январь-июнь</t>
  </si>
  <si>
    <t>67.2286800, 67.0554800</t>
  </si>
  <si>
    <t>Контейнер оборудованный под магазин и жилье для работников, емкость для хранения ГСМ</t>
  </si>
  <si>
    <t>Фактория расположена в непосредственной близости к технологической дороге «ст. Обская-ст.Бованенково», вблизи путей необщего пользования ж/д «ст. Обская – ст. Карская». Расстояние от ст. Обская составляет 72 км.</t>
  </si>
  <si>
    <t>Пуровский район</t>
  </si>
  <si>
    <t>64.1808994, 80.0438731</t>
  </si>
  <si>
    <t>Холодильное оборудование, емкости под ГСМ, Стационарная электростанция</t>
  </si>
  <si>
    <t>Автодороги;Автозимники от г. Тарко-Сале: 210 км-зимой, 290 км-летом</t>
  </si>
  <si>
    <t>да (слабый сигнал)</t>
  </si>
  <si>
    <t>Тазовский район</t>
  </si>
  <si>
    <t>68.7869147, 76.6232105</t>
  </si>
  <si>
    <t>Емкости под ГСМ, складские помещения</t>
  </si>
  <si>
    <t>Водный;Автозимники. 35 км южнее с.Антипаюта, на противоположном берегу Тазовской губы. Расстояние до фактории «Белые Яры» составляет 40 км водным транспортом через Тазовскую губу. Ближайшее Семаковское месторождение находится в 40 км северо-западнее</t>
  </si>
  <si>
    <t>67.8273517, 78.3631611</t>
  </si>
  <si>
    <t>Пекарня, теплый и холодный склады, медпункт</t>
  </si>
  <si>
    <t>Водный;Автозимники</t>
  </si>
  <si>
    <t>да, плохого качества</t>
  </si>
  <si>
    <t>68.2906411, 79.1248073</t>
  </si>
  <si>
    <t xml:space="preserve">Дизельная электростанция, холодный склад, </t>
  </si>
  <si>
    <t>Водный;Автозимники, расстояние от п. Тазовский при использовании наземного вида транспорта – 120 км; водный вид транспорта – 160 км). Фактория расположена между Находкинским и Южно-Мессояхским месторождениями на расстоянии 30 км от каждого</t>
  </si>
  <si>
    <t>Юрибей</t>
  </si>
  <si>
    <t>71.0331247, 76.9640762</t>
  </si>
  <si>
    <t>Емкости под ГСМ, теплый склад, холодный склад, пекарня</t>
  </si>
  <si>
    <t>55 км к западу от с. Гыда; до Салмановского (Утреннего) месторождения – 90 км по прямой</t>
  </si>
  <si>
    <t>69.9994250, 79.1165556</t>
  </si>
  <si>
    <t>Емкость под ГСМ, дизельная электростанция, теплый склад, холодный склад, пекарня, медпункт</t>
  </si>
  <si>
    <t>Автозимники, 130 км юго-восточнее с. Гыда; с.Носок Красноярского края - 120 км. До с.Антипаюта – 165 км по прямой</t>
  </si>
  <si>
    <t>Ямальский район</t>
  </si>
  <si>
    <t>март-декабрь</t>
  </si>
  <si>
    <t>67.3585173, 69.8045949</t>
  </si>
  <si>
    <t>Дизельная электростанция, холодный склад, морозильное оборудование, пекарня, склад ГСМ</t>
  </si>
  <si>
    <t>Автозимники. Фактория расположена в 100 км от населенного пункта с. Панаевск</t>
  </si>
  <si>
    <t>да, спутниковый</t>
  </si>
  <si>
    <t>да, спутник</t>
  </si>
  <si>
    <t>68.3448337, 71.8594809</t>
  </si>
  <si>
    <t>Дизельная электростанция, холодный склад, пекарня, медпункт, склад ГСМ</t>
  </si>
  <si>
    <t>Автозимники. Фактория расположена в 165 км от населенного пункта Мыс-Каменны</t>
  </si>
  <si>
    <t>сентябрь-ноябрь</t>
  </si>
  <si>
    <t>69.2635500, 70.4199389</t>
  </si>
  <si>
    <t>Автозимники. Фактория расположена: 1) в 10 км от разъезда 19 ж/д "Обская - Бованенково", 2) от с. Сеяха - 128 км., 3) от фактории "Юрибей" - 40 км</t>
  </si>
  <si>
    <t>71.4775722, 71.8164028</t>
  </si>
  <si>
    <t>Емкости под ГСМ, дизельная электростанция, теплый склад, холодный склад, пекарня, медпункт, склад ГСМ</t>
  </si>
  <si>
    <t>Автозимники. Фактория расположена в 200 км от населенного пункта Сеяха, в 30 км от вахтового поселка Сабетта</t>
  </si>
  <si>
    <t>68.9098778, 69.4536361</t>
  </si>
  <si>
    <t>Холодильник, емкость под ГСМ, дизельная электростанция, теплый склад, холодный склад, морозильное оборудование, пекарня</t>
  </si>
  <si>
    <t>Автозимники. Фактория расположена в 35 км от ж/д линии необщего пользования «Обская-Бованенково» 15 разъезд</t>
  </si>
  <si>
    <t>март-ноябрь</t>
  </si>
  <si>
    <t>68.5126944, 69.5152778</t>
  </si>
  <si>
    <t>Холодильник, емкости под ГСМ, теплый склад, холодный склад, пекарня</t>
  </si>
  <si>
    <t>Автозимники;ЖД. Фактория расположена в 3 км от ж/д линии необщего пользования «Обская-Бованенково» станция Хралов</t>
  </si>
  <si>
    <t>68.1599083, 70.7508056</t>
  </si>
  <si>
    <t>Дизельная электростанция, холодный склад, пекарня, медпункт</t>
  </si>
  <si>
    <t>Автозимники, Фактория расположена в 170 км от т населенного пункта Яр-Сале</t>
  </si>
  <si>
    <t>апрель-октябрь</t>
  </si>
  <si>
    <t>68.8620750, 70.6901556</t>
  </si>
  <si>
    <t>Холодильник, емкость под ГСМ, дизельная электростанция, теплый склад, холодный склад, морозильное оборудование, пекарня, медпункт</t>
  </si>
  <si>
    <t>Автозимники, Фактория расположена в 240 км от Яр-Сале, в 25 км от ж/д необщего пользования станция 15 разъезд</t>
  </si>
  <si>
    <t>февраль-декабрь</t>
  </si>
  <si>
    <t>67.6952778, 69.9125000</t>
  </si>
  <si>
    <t>Дизельная электростанция, холодный склад, пекарня, склад ГСМ</t>
  </si>
  <si>
    <t>апрель-декабрь</t>
  </si>
  <si>
    <t>71.0609990, 69.9689482</t>
  </si>
  <si>
    <t xml:space="preserve">Холодильник, емкости под ГСМ, дизельная электростанция, теплый склад, холодный склад, морозильное оборудование, </t>
  </si>
  <si>
    <t>Автозимники. Фактория расположена в 166 км от населенного пункта с. Сеяха</t>
  </si>
  <si>
    <t>октябрь-май</t>
  </si>
  <si>
    <t>67.9138556, 71.1196306</t>
  </si>
  <si>
    <t>Автозимники</t>
  </si>
  <si>
    <t>март-октябрь</t>
  </si>
  <si>
    <t>68.8934556, 70.2761083</t>
  </si>
  <si>
    <t>Населённый пункт</t>
  </si>
  <si>
    <t>Координаты</t>
  </si>
  <si>
    <t>Население</t>
  </si>
  <si>
    <t>Аэропорт</t>
  </si>
  <si>
    <t>Жд</t>
  </si>
  <si>
    <t>Судоходство</t>
  </si>
  <si>
    <t>70.362551, 68.445768</t>
  </si>
  <si>
    <t>ВПП, вертодром, 13 мест для стоянки ВС</t>
  </si>
  <si>
    <t>65.707162, 82.466035</t>
  </si>
  <si>
    <t>ВПП, вертолётная площадка</t>
  </si>
  <si>
    <t>да, р. Таз, база речфлота</t>
  </si>
  <si>
    <t>Школа, детский сад, спортивный центр, газопровод</t>
  </si>
  <si>
    <t>65.527025, 72.540055</t>
  </si>
  <si>
    <t>Всё есть</t>
  </si>
  <si>
    <t>66.084539, 76.680956</t>
  </si>
  <si>
    <t>63.201805, 75.450938</t>
  </si>
  <si>
    <t>71.235938, 72.127225</t>
  </si>
  <si>
    <t>в перспективе</t>
  </si>
  <si>
    <t>Морской порт</t>
  </si>
  <si>
    <t xml:space="preserve">Высокоскоростной интернет, </t>
  </si>
  <si>
    <t>Место расположения Ямал СПГ</t>
  </si>
  <si>
    <t>66.529866, 66.614507</t>
  </si>
  <si>
    <t>64.002147, 82.051283</t>
  </si>
  <si>
    <t>ВПП, вертолетная площадка</t>
  </si>
  <si>
    <t>да, р. Таз</t>
  </si>
  <si>
    <t>Агрофирма, спортивная инфраструктура</t>
  </si>
  <si>
    <t>65.961949, 78.372691</t>
  </si>
  <si>
    <t>ВПП, вертолетные площадки</t>
  </si>
  <si>
    <t>да, жд станция</t>
  </si>
  <si>
    <t>2 средних школы, 3 дошкольных учреждения, детская спортивная школа, культурно-спортивный комплекс</t>
  </si>
  <si>
    <t>71.015053, 74.254481</t>
  </si>
  <si>
    <t>ВПП</t>
  </si>
  <si>
    <t>67.925036, 74.922792</t>
  </si>
  <si>
    <t>95 прописано, 5-6 тыс сотрудники Газпром</t>
  </si>
  <si>
    <t>ВПП, вертолеты</t>
  </si>
  <si>
    <t>зимние сады, столовые, магазины, кулинарии, игровые помещения, спортзалы, культурно-спортивный комплекс, включающий в себя концертный зал на 500 мест, библиотеку, спортивный зал с трибунами на 200 мест, несколько тренажёрных залов, 25-метровый бассейн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</si>
</sst>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Calibri"/>
      <scheme val="minor"/>
    </font>
    <font>
      <sz val="11"/>
      <color rgb="FFFFFFFF"/>
      <name val="Calibri"/>
      <scheme val="minor"/>
    </font>
    <font>
      <sz val="11"/>
      <color theme="1"/>
      <name val="Calibri"/>
    </font>
    <font>
      <sz val="11"/>
      <color rgb="FFFFFFFF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b/>
      <i/>
      <sz val="11"/>
      <color theme="1"/>
      <name val="Calibri"/>
    </font>
    <font>
      <b/>
      <sz val="11"/>
      <color theme="1"/>
      <name val="Calibri"/>
      <scheme val="minor"/>
    </font>
    <font>
      <sz val="12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  <fill>
      <patternFill patternType="solid">
        <fgColor rgb="FF6D9EEB"/>
        <bgColor rgb="FF6D9EEB"/>
      </patternFill>
    </fill>
    <fill>
      <patternFill patternType="solid">
        <fgColor rgb="FF3C78D8"/>
        <bgColor rgb="FF3C78D8"/>
      </patternFill>
    </fill>
    <fill>
      <patternFill patternType="solid">
        <fgColor rgb="FF3D85C6"/>
        <bgColor rgb="FF3D85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0" borderId="0" xfId="0" applyFont="1" applyAlignment="1">
      <alignment wrapText="1"/>
    </xf>
    <xf numFmtId="0" fontId="8" fillId="0" borderId="0" xfId="0" applyFont="1"/>
    <xf numFmtId="0" fontId="2" fillId="0" borderId="0" xfId="0" applyFont="1" applyAlignment="1">
      <alignment horizontal="center"/>
    </xf>
    <xf numFmtId="0" fontId="0" fillId="0" borderId="0" xfId="0"/>
  </cellXfs>
  <cellStyles count="1">
    <cellStyle name="Обычный" xfId="0" builtinId="0"/>
  </cellStyles>
  <dxfs count="3"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Дистанции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J36">
  <tableColumns count="36">
    <tableColumn id="1" xr3:uid="{00000000-0010-0000-0000-000001000000}" name="Название"/>
    <tableColumn id="2" xr3:uid="{00000000-0010-0000-0000-000002000000}" name="Паюта"/>
    <tableColumn id="3" xr3:uid="{00000000-0010-0000-0000-000003000000}" name="Стёпина"/>
    <tableColumn id="4" xr3:uid="{00000000-0010-0000-0000-000004000000}" name="96 км ж/д Обская - Бованенково"/>
    <tableColumn id="5" xr3:uid="{00000000-0010-0000-0000-000005000000}" name="Фактория &quot;Район Приуральский&quot;"/>
    <tableColumn id="6" xr3:uid="{00000000-0010-0000-0000-000006000000}" name="Лонгот"/>
    <tableColumn id="7" xr3:uid="{00000000-0010-0000-0000-000007000000}" name="Быстринка"/>
    <tableColumn id="8" xr3:uid="{00000000-0010-0000-0000-000008000000}" name="Халмер-Яха"/>
    <tableColumn id="9" xr3:uid="{00000000-0010-0000-0000-000009000000}" name="5-6 Пески"/>
    <tableColumn id="10" xr3:uid="{00000000-0010-0000-0000-00000A000000}" name="Мессо"/>
    <tableColumn id="11" xr3:uid="{00000000-0010-0000-0000-00000B000000}" name="Юрибей 1"/>
    <tableColumn id="12" xr3:uid="{00000000-0010-0000-0000-00000C000000}" name="Танамо"/>
    <tableColumn id="13" xr3:uid="{00000000-0010-0000-0000-00000D000000}" name="Хадыта"/>
    <tableColumn id="14" xr3:uid="{00000000-0010-0000-0000-00000E000000}" name="Тарко-Сале"/>
    <tableColumn id="15" xr3:uid="{00000000-0010-0000-0000-00000F000000}" name="Хаданто"/>
    <tableColumn id="16" xr3:uid="{00000000-0010-0000-0000-000010000000}" name="Тамбей"/>
    <tableColumn id="17" xr3:uid="{00000000-0010-0000-0000-000011000000}" name="Яхады-Яха"/>
    <tableColumn id="18" xr3:uid="{00000000-0010-0000-0000-000012000000}" name="Усть-Юрибей"/>
    <tableColumn id="19" xr3:uid="{00000000-0010-0000-0000-000013000000}" name="Лидино"/>
    <tableColumn id="20" xr3:uid="{00000000-0010-0000-0000-000014000000}" name="Харп"/>
    <tableColumn id="21" xr3:uid="{00000000-0010-0000-0000-000015000000}" name="Хута-Яха"/>
    <tableColumn id="22" xr3:uid="{00000000-0010-0000-0000-000016000000}" name="Салпада"/>
    <tableColumn id="23" xr3:uid="{00000000-0010-0000-0000-000017000000}" name="Матюй-Яха"/>
    <tableColumn id="24" xr3:uid="{00000000-0010-0000-0000-000018000000}" name="Юдэ-то"/>
    <tableColumn id="25" xr3:uid="{00000000-0010-0000-0000-000019000000}" name="Юрибей 2"/>
    <tableColumn id="26" xr3:uid="{00000000-0010-0000-0000-00001A000000}" name="вахтовый посёлок Бованенково"/>
    <tableColumn id="27" xr3:uid="{00000000-0010-0000-0000-00001B000000}" name="село Красноселькуп"/>
    <tableColumn id="28" xr3:uid="{00000000-0010-0000-0000-00001C000000}" name="город Надым"/>
    <tableColumn id="29" xr3:uid="{00000000-0010-0000-0000-00001D000000}" name="город Новый Уренгой"/>
    <tableColumn id="30" xr3:uid="{00000000-0010-0000-0000-00001E000000}" name="город Ноябрьск"/>
    <tableColumn id="31" xr3:uid="{00000000-0010-0000-0000-00001F000000}" name="вахтовый посёлок Сабетта"/>
    <tableColumn id="32" xr3:uid="{00000000-0010-0000-0000-000020000000}" name="город Салехард"/>
    <tableColumn id="33" xr3:uid="{00000000-0010-0000-0000-000021000000}" name="село Толька"/>
    <tableColumn id="34" xr3:uid="{00000000-0010-0000-0000-000022000000}" name="посёлок городского типа Уренгой"/>
    <tableColumn id="35" xr3:uid="{00000000-0010-0000-0000-000023000000}" name="аэропорт Утренний"/>
    <tableColumn id="36" xr3:uid="{00000000-0010-0000-0000-000024000000}" name="посёлок Ямбург"/>
  </tableColumns>
  <tableStyleInfo name="Дистанции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30.453125" customWidth="1"/>
    <col min="2" max="2" width="8.7265625" customWidth="1"/>
    <col min="3" max="3" width="10.26953125" customWidth="1"/>
    <col min="4" max="4" width="32.08984375" customWidth="1"/>
    <col min="5" max="5" width="30.54296875" customWidth="1"/>
    <col min="6" max="6" width="9.08984375" customWidth="1"/>
    <col min="7" max="7" width="12.54296875" customWidth="1"/>
    <col min="8" max="8" width="13.54296875" customWidth="1"/>
    <col min="9" max="9" width="11.453125" customWidth="1"/>
    <col min="10" max="10" width="8.54296875" customWidth="1"/>
    <col min="11" max="11" width="11.7265625" customWidth="1"/>
    <col min="12" max="12" width="9.7265625" customWidth="1"/>
    <col min="13" max="13" width="9.54296875" customWidth="1"/>
    <col min="14" max="14" width="13.08984375" customWidth="1"/>
    <col min="15" max="15" width="10.453125" customWidth="1"/>
    <col min="16" max="16" width="9.7265625" customWidth="1"/>
    <col min="17" max="17" width="12.54296875" customWidth="1"/>
    <col min="18" max="18" width="14.54296875" customWidth="1"/>
    <col min="19" max="19" width="9.81640625" customWidth="1"/>
    <col min="20" max="20" width="7.453125" customWidth="1"/>
    <col min="21" max="22" width="10.54296875" customWidth="1"/>
    <col min="23" max="23" width="13" customWidth="1"/>
    <col min="24" max="24" width="9.54296875" customWidth="1"/>
    <col min="25" max="25" width="11.7265625" customWidth="1"/>
    <col min="26" max="26" width="31.54296875" customWidth="1"/>
    <col min="27" max="27" width="20.81640625" customWidth="1"/>
    <col min="28" max="28" width="15.08984375" customWidth="1"/>
    <col min="29" max="29" width="22.453125" customWidth="1"/>
    <col min="30" max="30" width="17.08984375" customWidth="1"/>
    <col min="31" max="31" width="26.54296875" customWidth="1"/>
    <col min="32" max="32" width="17.08984375" customWidth="1"/>
    <col min="33" max="33" width="13.7265625" customWidth="1"/>
    <col min="34" max="34" width="33.08984375" customWidth="1"/>
    <col min="35" max="35" width="20.26953125" customWidth="1"/>
    <col min="36" max="36" width="17.26953125" customWidth="1"/>
  </cols>
  <sheetData>
    <row r="1" spans="1:36" ht="14.2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</row>
    <row r="2" spans="1:36" ht="14.25" customHeight="1" x14ac:dyDescent="0.35">
      <c r="A2" s="7" t="s">
        <v>1</v>
      </c>
      <c r="B2" s="8">
        <v>0</v>
      </c>
      <c r="C2" s="8">
        <v>39.4</v>
      </c>
      <c r="D2" s="8">
        <v>71.89</v>
      </c>
      <c r="E2" s="8">
        <v>135.32</v>
      </c>
      <c r="F2" s="8">
        <v>102.96</v>
      </c>
      <c r="G2" s="8">
        <v>665.02</v>
      </c>
      <c r="H2" s="8">
        <v>342.91</v>
      </c>
      <c r="I2" s="8">
        <v>410.12</v>
      </c>
      <c r="J2" s="8">
        <v>438.81</v>
      </c>
      <c r="K2" s="8">
        <v>472.77</v>
      </c>
      <c r="L2" s="8">
        <v>477.65</v>
      </c>
      <c r="M2" s="8">
        <v>84.78</v>
      </c>
      <c r="N2" s="8">
        <v>143.25</v>
      </c>
      <c r="O2" s="8">
        <v>163.80000000000001</v>
      </c>
      <c r="P2" s="8">
        <v>411.08</v>
      </c>
      <c r="Q2" s="8">
        <v>471.11</v>
      </c>
      <c r="R2" s="8">
        <v>112.19</v>
      </c>
      <c r="S2" s="8">
        <v>73.39</v>
      </c>
      <c r="T2" s="8">
        <v>93.85</v>
      </c>
      <c r="U2" s="8">
        <v>133.24</v>
      </c>
      <c r="V2" s="8">
        <v>63.78</v>
      </c>
      <c r="W2" s="8">
        <v>349.57</v>
      </c>
      <c r="X2" s="8">
        <v>107.07</v>
      </c>
      <c r="Y2" s="8">
        <v>125.67</v>
      </c>
      <c r="Z2" s="8">
        <v>267.63</v>
      </c>
      <c r="AA2" s="8">
        <v>656</v>
      </c>
      <c r="AB2" s="8">
        <v>321.58999999999997</v>
      </c>
      <c r="AC2" s="8">
        <v>408.97</v>
      </c>
      <c r="AD2" s="8">
        <v>615.52</v>
      </c>
      <c r="AE2" s="8">
        <v>389.9</v>
      </c>
      <c r="AF2" s="8">
        <v>179.26</v>
      </c>
      <c r="AG2" s="8">
        <v>749.98</v>
      </c>
      <c r="AH2" s="8">
        <v>480.5</v>
      </c>
      <c r="AI2" s="8">
        <v>405.79</v>
      </c>
      <c r="AJ2" s="8">
        <v>265.67</v>
      </c>
    </row>
    <row r="3" spans="1:36" ht="14.25" customHeight="1" x14ac:dyDescent="0.35">
      <c r="A3" s="7" t="s">
        <v>2</v>
      </c>
      <c r="B3" s="8">
        <v>39.4</v>
      </c>
      <c r="C3" s="8">
        <v>0</v>
      </c>
      <c r="D3" s="8">
        <v>32.67</v>
      </c>
      <c r="E3" s="8">
        <v>121.24</v>
      </c>
      <c r="F3" s="8">
        <v>63.56</v>
      </c>
      <c r="G3" s="8">
        <v>669.36</v>
      </c>
      <c r="H3" s="8">
        <v>376.78</v>
      </c>
      <c r="I3" s="8">
        <v>436.91</v>
      </c>
      <c r="J3" s="8">
        <v>468.85</v>
      </c>
      <c r="K3" s="8">
        <v>512.16</v>
      </c>
      <c r="L3" s="8">
        <v>515.16999999999996</v>
      </c>
      <c r="M3" s="8">
        <v>85.26</v>
      </c>
      <c r="N3" s="8">
        <v>177.71</v>
      </c>
      <c r="O3" s="8">
        <v>202.53</v>
      </c>
      <c r="P3" s="8">
        <v>447.84</v>
      </c>
      <c r="Q3" s="8">
        <v>506.16</v>
      </c>
      <c r="R3" s="8">
        <v>149.87</v>
      </c>
      <c r="S3" s="8">
        <v>112.64</v>
      </c>
      <c r="T3" s="8">
        <v>127.63</v>
      </c>
      <c r="U3" s="8">
        <v>172.62</v>
      </c>
      <c r="V3" s="8">
        <v>81.59</v>
      </c>
      <c r="W3" s="8">
        <v>384.21</v>
      </c>
      <c r="X3" s="8">
        <v>134.5</v>
      </c>
      <c r="Y3" s="8">
        <v>164.95</v>
      </c>
      <c r="Z3" s="8">
        <v>299.19</v>
      </c>
      <c r="AA3" s="8">
        <v>672.04</v>
      </c>
      <c r="AB3" s="8">
        <v>312.39</v>
      </c>
      <c r="AC3" s="8">
        <v>418.63</v>
      </c>
      <c r="AD3" s="8">
        <v>604.78</v>
      </c>
      <c r="AE3" s="8">
        <v>427.31</v>
      </c>
      <c r="AF3" s="8">
        <v>140.57</v>
      </c>
      <c r="AG3" s="8">
        <v>757.04</v>
      </c>
      <c r="AH3" s="8">
        <v>492.46</v>
      </c>
      <c r="AI3" s="8">
        <v>444.85</v>
      </c>
      <c r="AJ3" s="8">
        <v>292.8</v>
      </c>
    </row>
    <row r="4" spans="1:36" ht="14.25" customHeight="1" x14ac:dyDescent="0.35">
      <c r="A4" s="7" t="s">
        <v>3</v>
      </c>
      <c r="B4" s="8">
        <v>71.89</v>
      </c>
      <c r="C4" s="8">
        <v>32.67</v>
      </c>
      <c r="D4" s="8">
        <v>0</v>
      </c>
      <c r="E4" s="8">
        <v>114</v>
      </c>
      <c r="F4" s="8">
        <v>31.39</v>
      </c>
      <c r="G4" s="8">
        <v>679.09</v>
      </c>
      <c r="H4" s="8">
        <v>407.42</v>
      </c>
      <c r="I4" s="8">
        <v>463.34</v>
      </c>
      <c r="J4" s="8">
        <v>497.21</v>
      </c>
      <c r="K4" s="8">
        <v>544.62</v>
      </c>
      <c r="L4" s="8">
        <v>547.45000000000005</v>
      </c>
      <c r="M4" s="8">
        <v>102.13</v>
      </c>
      <c r="N4" s="8">
        <v>209.07</v>
      </c>
      <c r="O4" s="8">
        <v>233.9</v>
      </c>
      <c r="P4" s="8">
        <v>476.89</v>
      </c>
      <c r="Q4" s="8">
        <v>533.52</v>
      </c>
      <c r="R4" s="8">
        <v>180.47</v>
      </c>
      <c r="S4" s="8">
        <v>144.75</v>
      </c>
      <c r="T4" s="8">
        <v>159.01</v>
      </c>
      <c r="U4" s="8">
        <v>205.1</v>
      </c>
      <c r="V4" s="8">
        <v>108.12</v>
      </c>
      <c r="W4" s="8">
        <v>411.4</v>
      </c>
      <c r="X4" s="8">
        <v>163.25</v>
      </c>
      <c r="Y4" s="8">
        <v>197.03</v>
      </c>
      <c r="Z4" s="8">
        <v>324.05</v>
      </c>
      <c r="AA4" s="8">
        <v>690.63</v>
      </c>
      <c r="AB4" s="8">
        <v>312.95</v>
      </c>
      <c r="AC4" s="8">
        <v>433.36</v>
      </c>
      <c r="AD4" s="8">
        <v>602.23</v>
      </c>
      <c r="AE4" s="8">
        <v>457.02</v>
      </c>
      <c r="AF4" s="8">
        <v>110.51</v>
      </c>
      <c r="AG4" s="8">
        <v>768.72</v>
      </c>
      <c r="AH4" s="8">
        <v>508.55</v>
      </c>
      <c r="AI4" s="8">
        <v>476.46</v>
      </c>
      <c r="AJ4" s="8">
        <v>319.93</v>
      </c>
    </row>
    <row r="5" spans="1:36" ht="14.25" customHeight="1" x14ac:dyDescent="0.35">
      <c r="A5" s="2" t="s">
        <v>4</v>
      </c>
      <c r="B5" s="8">
        <v>135.32</v>
      </c>
      <c r="C5" s="8">
        <v>121.24</v>
      </c>
      <c r="D5" s="8">
        <v>114</v>
      </c>
      <c r="E5" s="8">
        <v>0</v>
      </c>
      <c r="F5" s="8">
        <v>123.07</v>
      </c>
      <c r="G5" s="8">
        <v>790.28</v>
      </c>
      <c r="H5" s="8">
        <v>466.17</v>
      </c>
      <c r="I5" s="8">
        <v>543.26</v>
      </c>
      <c r="J5" s="8">
        <v>568.41999999999996</v>
      </c>
      <c r="K5" s="8">
        <v>553.88</v>
      </c>
      <c r="L5" s="8">
        <v>584.54</v>
      </c>
      <c r="M5" s="8">
        <v>206.47</v>
      </c>
      <c r="N5" s="8">
        <v>270.05</v>
      </c>
      <c r="O5" s="8">
        <v>241.41</v>
      </c>
      <c r="P5" s="8">
        <v>447.98</v>
      </c>
      <c r="Q5" s="8">
        <v>491.81</v>
      </c>
      <c r="R5" s="8">
        <v>189.19</v>
      </c>
      <c r="S5" s="8">
        <v>177.12</v>
      </c>
      <c r="T5" s="8">
        <v>224.2</v>
      </c>
      <c r="U5" s="8">
        <v>233.23</v>
      </c>
      <c r="V5" s="8">
        <v>197.18</v>
      </c>
      <c r="W5" s="8">
        <v>372.71</v>
      </c>
      <c r="X5" s="8">
        <v>241.8</v>
      </c>
      <c r="Y5" s="8">
        <v>218.75</v>
      </c>
      <c r="Z5" s="8">
        <v>277.58999999999997</v>
      </c>
      <c r="AA5" s="8">
        <v>790.6</v>
      </c>
      <c r="AB5" s="8">
        <v>426.94</v>
      </c>
      <c r="AC5" s="8">
        <v>539.59</v>
      </c>
      <c r="AD5" s="8">
        <v>715.33</v>
      </c>
      <c r="AE5" s="8">
        <v>433.86</v>
      </c>
      <c r="AF5" s="8">
        <v>185.33</v>
      </c>
      <c r="AG5" s="8">
        <v>878.27</v>
      </c>
      <c r="AH5" s="8">
        <v>612.89</v>
      </c>
      <c r="AI5" s="8">
        <v>471.78</v>
      </c>
      <c r="AJ5" s="8">
        <v>399.18</v>
      </c>
    </row>
    <row r="6" spans="1:36" ht="14.25" customHeight="1" x14ac:dyDescent="0.35">
      <c r="A6" s="7" t="s">
        <v>5</v>
      </c>
      <c r="B6" s="8">
        <v>102.96</v>
      </c>
      <c r="C6" s="8">
        <v>63.56</v>
      </c>
      <c r="D6" s="8">
        <v>31.39</v>
      </c>
      <c r="E6" s="8">
        <v>123.07</v>
      </c>
      <c r="F6" s="8">
        <v>0</v>
      </c>
      <c r="G6" s="8">
        <v>682.19</v>
      </c>
      <c r="H6" s="8">
        <v>433.87</v>
      </c>
      <c r="I6" s="8">
        <v>484.49</v>
      </c>
      <c r="J6" s="8">
        <v>520.58000000000004</v>
      </c>
      <c r="K6" s="8">
        <v>575.72</v>
      </c>
      <c r="L6" s="8">
        <v>576.51</v>
      </c>
      <c r="M6" s="8">
        <v>118.87</v>
      </c>
      <c r="N6" s="8">
        <v>236.94</v>
      </c>
      <c r="O6" s="8">
        <v>265.29000000000002</v>
      </c>
      <c r="P6" s="8">
        <v>507.63</v>
      </c>
      <c r="Q6" s="8">
        <v>563.48</v>
      </c>
      <c r="R6" s="8">
        <v>211.78</v>
      </c>
      <c r="S6" s="8">
        <v>176.04</v>
      </c>
      <c r="T6" s="8">
        <v>187.16</v>
      </c>
      <c r="U6" s="8">
        <v>236.18</v>
      </c>
      <c r="V6" s="8">
        <v>132.34</v>
      </c>
      <c r="W6" s="8">
        <v>441.34</v>
      </c>
      <c r="X6" s="8">
        <v>188.46</v>
      </c>
      <c r="Y6" s="8">
        <v>228.34</v>
      </c>
      <c r="Z6" s="8">
        <v>352.9</v>
      </c>
      <c r="AA6" s="8">
        <v>702.76</v>
      </c>
      <c r="AB6" s="8">
        <v>308.88</v>
      </c>
      <c r="AC6" s="8">
        <v>442.25</v>
      </c>
      <c r="AD6" s="8">
        <v>593.69000000000005</v>
      </c>
      <c r="AE6" s="8">
        <v>488.01</v>
      </c>
      <c r="AF6" s="8">
        <v>80.05</v>
      </c>
      <c r="AG6" s="8">
        <v>773.6</v>
      </c>
      <c r="AH6" s="8">
        <v>518.51</v>
      </c>
      <c r="AI6" s="8">
        <v>507.85</v>
      </c>
      <c r="AJ6" s="8">
        <v>342.3</v>
      </c>
    </row>
    <row r="7" spans="1:36" ht="14.25" customHeight="1" x14ac:dyDescent="0.35">
      <c r="A7" s="3" t="s">
        <v>6</v>
      </c>
      <c r="B7" s="8">
        <v>665.02</v>
      </c>
      <c r="C7" s="8">
        <v>669.36</v>
      </c>
      <c r="D7" s="8">
        <v>679.09</v>
      </c>
      <c r="E7" s="8">
        <v>790.28</v>
      </c>
      <c r="F7" s="8">
        <v>682.19</v>
      </c>
      <c r="G7" s="8">
        <v>0</v>
      </c>
      <c r="H7" s="8">
        <v>533.98</v>
      </c>
      <c r="I7" s="8">
        <v>412.49</v>
      </c>
      <c r="J7" s="8">
        <v>458.82</v>
      </c>
      <c r="K7" s="8">
        <v>772.77</v>
      </c>
      <c r="L7" s="8">
        <v>648.22</v>
      </c>
      <c r="M7" s="8">
        <v>584.65</v>
      </c>
      <c r="N7" s="8">
        <v>589.41999999999996</v>
      </c>
      <c r="O7" s="8">
        <v>704.19</v>
      </c>
      <c r="P7" s="8">
        <v>879.91</v>
      </c>
      <c r="Q7" s="8">
        <v>956.18</v>
      </c>
      <c r="R7" s="8">
        <v>702.53</v>
      </c>
      <c r="S7" s="8">
        <v>671.09</v>
      </c>
      <c r="T7" s="8">
        <v>607.12</v>
      </c>
      <c r="U7" s="8">
        <v>663.87</v>
      </c>
      <c r="V7" s="8">
        <v>601.80999999999995</v>
      </c>
      <c r="W7" s="8">
        <v>873.34</v>
      </c>
      <c r="X7" s="8">
        <v>577.4</v>
      </c>
      <c r="Y7" s="8">
        <v>677.82</v>
      </c>
      <c r="Z7" s="8">
        <v>845.98</v>
      </c>
      <c r="AA7" s="8">
        <v>204.45</v>
      </c>
      <c r="AB7" s="8">
        <v>384.55</v>
      </c>
      <c r="AC7" s="8">
        <v>263.62</v>
      </c>
      <c r="AD7" s="8">
        <v>251.09</v>
      </c>
      <c r="AE7" s="8">
        <v>850.94</v>
      </c>
      <c r="AF7" s="8">
        <v>673.54</v>
      </c>
      <c r="AG7" s="8">
        <v>99.53</v>
      </c>
      <c r="AH7" s="8">
        <v>212.95</v>
      </c>
      <c r="AI7" s="8">
        <v>797.68</v>
      </c>
      <c r="AJ7" s="8">
        <v>475.83</v>
      </c>
    </row>
    <row r="8" spans="1:36" ht="14.25" customHeight="1" x14ac:dyDescent="0.35">
      <c r="A8" s="4" t="s">
        <v>7</v>
      </c>
      <c r="B8" s="8">
        <v>342.91</v>
      </c>
      <c r="C8" s="8">
        <v>376.78</v>
      </c>
      <c r="D8" s="8">
        <v>407.42</v>
      </c>
      <c r="E8" s="8">
        <v>466.17</v>
      </c>
      <c r="F8" s="8">
        <v>433.87</v>
      </c>
      <c r="G8" s="8">
        <v>533.98</v>
      </c>
      <c r="H8" s="8">
        <v>0</v>
      </c>
      <c r="I8" s="8">
        <v>128.44</v>
      </c>
      <c r="J8" s="8">
        <v>115.76</v>
      </c>
      <c r="K8" s="8">
        <v>250.11</v>
      </c>
      <c r="L8" s="8">
        <v>166.4</v>
      </c>
      <c r="M8" s="8">
        <v>324.39</v>
      </c>
      <c r="N8" s="8">
        <v>199.66</v>
      </c>
      <c r="O8" s="8">
        <v>252.42</v>
      </c>
      <c r="P8" s="8">
        <v>349.78</v>
      </c>
      <c r="Q8" s="8">
        <v>425.06</v>
      </c>
      <c r="R8" s="8">
        <v>287.83</v>
      </c>
      <c r="S8" s="8">
        <v>289.19</v>
      </c>
      <c r="T8" s="8">
        <v>249.43</v>
      </c>
      <c r="U8" s="8">
        <v>238.36</v>
      </c>
      <c r="V8" s="8">
        <v>301.88</v>
      </c>
      <c r="W8" s="8">
        <v>358.04</v>
      </c>
      <c r="X8" s="8">
        <v>245.65</v>
      </c>
      <c r="Y8" s="8">
        <v>254.92</v>
      </c>
      <c r="Z8" s="8">
        <v>362.08</v>
      </c>
      <c r="AA8" s="8">
        <v>424.37</v>
      </c>
      <c r="AB8" s="8">
        <v>402.86</v>
      </c>
      <c r="AC8" s="8">
        <v>300.5</v>
      </c>
      <c r="AD8" s="8">
        <v>623.27</v>
      </c>
      <c r="AE8" s="8">
        <v>321.32</v>
      </c>
      <c r="AF8" s="8">
        <v>491.06</v>
      </c>
      <c r="AG8" s="8">
        <v>583.85</v>
      </c>
      <c r="AH8" s="8">
        <v>322.88</v>
      </c>
      <c r="AI8" s="8">
        <v>263.73</v>
      </c>
      <c r="AJ8" s="8">
        <v>118.52</v>
      </c>
    </row>
    <row r="9" spans="1:36" ht="14.25" customHeight="1" x14ac:dyDescent="0.35">
      <c r="A9" s="4" t="s">
        <v>8</v>
      </c>
      <c r="B9" s="8">
        <v>410.12</v>
      </c>
      <c r="C9" s="8">
        <v>436.91</v>
      </c>
      <c r="D9" s="8">
        <v>463.34</v>
      </c>
      <c r="E9" s="8">
        <v>543.26</v>
      </c>
      <c r="F9" s="8">
        <v>484.49</v>
      </c>
      <c r="G9" s="8">
        <v>412.49</v>
      </c>
      <c r="H9" s="8">
        <v>128.44</v>
      </c>
      <c r="I9" s="8">
        <v>0</v>
      </c>
      <c r="J9" s="8">
        <v>60.46</v>
      </c>
      <c r="K9" s="8">
        <v>360.61</v>
      </c>
      <c r="L9" s="8">
        <v>243.39</v>
      </c>
      <c r="M9" s="8">
        <v>366.18</v>
      </c>
      <c r="N9" s="8">
        <v>275.82</v>
      </c>
      <c r="O9" s="8">
        <v>360.02</v>
      </c>
      <c r="P9" s="8">
        <v>477.77</v>
      </c>
      <c r="Q9" s="8">
        <v>552.62</v>
      </c>
      <c r="R9" s="8">
        <v>384.12</v>
      </c>
      <c r="S9" s="8">
        <v>373.35</v>
      </c>
      <c r="T9" s="8">
        <v>319.12</v>
      </c>
      <c r="U9" s="8">
        <v>334.94</v>
      </c>
      <c r="V9" s="8">
        <v>355.66</v>
      </c>
      <c r="W9" s="8">
        <v>485.69</v>
      </c>
      <c r="X9" s="8">
        <v>303.39</v>
      </c>
      <c r="Y9" s="8">
        <v>351.85</v>
      </c>
      <c r="Z9" s="8">
        <v>483.14</v>
      </c>
      <c r="AA9" s="8">
        <v>296.45999999999998</v>
      </c>
      <c r="AB9" s="8">
        <v>361.86</v>
      </c>
      <c r="AC9" s="8">
        <v>207.14</v>
      </c>
      <c r="AD9" s="8">
        <v>531.41</v>
      </c>
      <c r="AE9" s="8">
        <v>449.45</v>
      </c>
      <c r="AF9" s="8">
        <v>525.91999999999996</v>
      </c>
      <c r="AG9" s="8">
        <v>456.89</v>
      </c>
      <c r="AH9" s="8">
        <v>207.42</v>
      </c>
      <c r="AI9" s="8">
        <v>388.93</v>
      </c>
      <c r="AJ9" s="8">
        <v>144.46</v>
      </c>
    </row>
    <row r="10" spans="1:36" ht="14.25" customHeight="1" x14ac:dyDescent="0.35">
      <c r="A10" s="4" t="s">
        <v>9</v>
      </c>
      <c r="B10" s="8">
        <v>438.81</v>
      </c>
      <c r="C10" s="8">
        <v>468.85</v>
      </c>
      <c r="D10" s="8">
        <v>497.21</v>
      </c>
      <c r="E10" s="8">
        <v>568.41999999999996</v>
      </c>
      <c r="F10" s="8">
        <v>520.58000000000004</v>
      </c>
      <c r="G10" s="8">
        <v>458.82</v>
      </c>
      <c r="H10" s="8">
        <v>115.76</v>
      </c>
      <c r="I10" s="8">
        <v>60.46</v>
      </c>
      <c r="J10" s="8">
        <v>0</v>
      </c>
      <c r="K10" s="8">
        <v>316.13</v>
      </c>
      <c r="L10" s="8">
        <v>190.01</v>
      </c>
      <c r="M10" s="8">
        <v>404.23</v>
      </c>
      <c r="N10" s="8">
        <v>298.36</v>
      </c>
      <c r="O10" s="8">
        <v>366.35</v>
      </c>
      <c r="P10" s="8">
        <v>450.7</v>
      </c>
      <c r="Q10" s="8">
        <v>523.42999999999995</v>
      </c>
      <c r="R10" s="8">
        <v>397.94</v>
      </c>
      <c r="S10" s="8">
        <v>393.7</v>
      </c>
      <c r="T10" s="8">
        <v>345.46</v>
      </c>
      <c r="U10" s="8">
        <v>348.13</v>
      </c>
      <c r="V10" s="8">
        <v>389.13</v>
      </c>
      <c r="W10" s="8">
        <v>468.13</v>
      </c>
      <c r="X10" s="8">
        <v>334.37</v>
      </c>
      <c r="Y10" s="8">
        <v>365</v>
      </c>
      <c r="Z10" s="8">
        <v>477.45</v>
      </c>
      <c r="AA10" s="8">
        <v>321.76</v>
      </c>
      <c r="AB10" s="8">
        <v>420.17</v>
      </c>
      <c r="AC10" s="8">
        <v>266.93</v>
      </c>
      <c r="AD10" s="8">
        <v>589.96</v>
      </c>
      <c r="AE10" s="8">
        <v>423.38</v>
      </c>
      <c r="AF10" s="8">
        <v>567.88</v>
      </c>
      <c r="AG10" s="8">
        <v>494.55</v>
      </c>
      <c r="AH10" s="8">
        <v>260.97000000000003</v>
      </c>
      <c r="AI10" s="8">
        <v>356.45</v>
      </c>
      <c r="AJ10" s="8">
        <v>178.86</v>
      </c>
    </row>
    <row r="11" spans="1:36" ht="14.25" customHeight="1" x14ac:dyDescent="0.35">
      <c r="A11" s="4" t="s">
        <v>10</v>
      </c>
      <c r="B11" s="8">
        <v>472.77</v>
      </c>
      <c r="C11" s="8">
        <v>512.16</v>
      </c>
      <c r="D11" s="8">
        <v>544.62</v>
      </c>
      <c r="E11" s="8">
        <v>553.88</v>
      </c>
      <c r="F11" s="8">
        <v>575.72</v>
      </c>
      <c r="G11" s="8">
        <v>772.77</v>
      </c>
      <c r="H11" s="8">
        <v>250.11</v>
      </c>
      <c r="I11" s="8">
        <v>360.61</v>
      </c>
      <c r="J11" s="8">
        <v>316.13</v>
      </c>
      <c r="K11" s="8">
        <v>0</v>
      </c>
      <c r="L11" s="8">
        <v>139.93</v>
      </c>
      <c r="M11" s="8">
        <v>496.2</v>
      </c>
      <c r="N11" s="8">
        <v>357.76</v>
      </c>
      <c r="O11" s="8">
        <v>315.60000000000002</v>
      </c>
      <c r="P11" s="8">
        <v>190.4</v>
      </c>
      <c r="Q11" s="8">
        <v>242.33</v>
      </c>
      <c r="R11" s="8">
        <v>370.44</v>
      </c>
      <c r="S11" s="8">
        <v>400.18</v>
      </c>
      <c r="T11" s="8">
        <v>399.7</v>
      </c>
      <c r="U11" s="8">
        <v>339.54</v>
      </c>
      <c r="V11" s="8">
        <v>462.12</v>
      </c>
      <c r="W11" s="8">
        <v>252.51</v>
      </c>
      <c r="X11" s="8">
        <v>414.61</v>
      </c>
      <c r="Y11" s="8">
        <v>348.26</v>
      </c>
      <c r="Z11" s="8">
        <v>321.56</v>
      </c>
      <c r="AA11" s="8">
        <v>633.1</v>
      </c>
      <c r="AB11" s="8">
        <v>638.33000000000004</v>
      </c>
      <c r="AC11" s="8">
        <v>550.38</v>
      </c>
      <c r="AD11" s="8">
        <v>873.19</v>
      </c>
      <c r="AE11" s="8">
        <v>175.31</v>
      </c>
      <c r="AF11" s="8">
        <v>649.58000000000004</v>
      </c>
      <c r="AG11" s="8">
        <v>810.5</v>
      </c>
      <c r="AH11" s="8">
        <v>566.77</v>
      </c>
      <c r="AI11" s="8">
        <v>97.98</v>
      </c>
      <c r="AJ11" s="8">
        <v>354.59</v>
      </c>
    </row>
    <row r="12" spans="1:36" ht="14.25" customHeight="1" x14ac:dyDescent="0.35">
      <c r="A12" s="4" t="s">
        <v>11</v>
      </c>
      <c r="B12" s="8">
        <v>477.65</v>
      </c>
      <c r="C12" s="8">
        <v>515.16999999999996</v>
      </c>
      <c r="D12" s="8">
        <v>547.45000000000005</v>
      </c>
      <c r="E12" s="8">
        <v>584.54</v>
      </c>
      <c r="F12" s="8">
        <v>576.51</v>
      </c>
      <c r="G12" s="8">
        <v>648.22</v>
      </c>
      <c r="H12" s="8">
        <v>166.4</v>
      </c>
      <c r="I12" s="8">
        <v>243.39</v>
      </c>
      <c r="J12" s="8">
        <v>190.01</v>
      </c>
      <c r="K12" s="8">
        <v>139.93</v>
      </c>
      <c r="L12" s="8">
        <v>0</v>
      </c>
      <c r="M12" s="8">
        <v>476.64</v>
      </c>
      <c r="N12" s="8">
        <v>340.52</v>
      </c>
      <c r="O12" s="8">
        <v>346.05</v>
      </c>
      <c r="P12" s="8">
        <v>313.89999999999998</v>
      </c>
      <c r="Q12" s="8">
        <v>375.92</v>
      </c>
      <c r="R12" s="8">
        <v>395.57</v>
      </c>
      <c r="S12" s="8">
        <v>412.13</v>
      </c>
      <c r="T12" s="8">
        <v>389.6</v>
      </c>
      <c r="U12" s="8">
        <v>352.3</v>
      </c>
      <c r="V12" s="8">
        <v>448.77</v>
      </c>
      <c r="W12" s="8">
        <v>358.58</v>
      </c>
      <c r="X12" s="8">
        <v>394.14</v>
      </c>
      <c r="Y12" s="8">
        <v>365.98</v>
      </c>
      <c r="Z12" s="8">
        <v>403.79</v>
      </c>
      <c r="AA12" s="8">
        <v>497.32</v>
      </c>
      <c r="AB12" s="8">
        <v>568.41</v>
      </c>
      <c r="AC12" s="8">
        <v>446.85</v>
      </c>
      <c r="AD12" s="8">
        <v>772.66</v>
      </c>
      <c r="AE12" s="8">
        <v>292.04000000000002</v>
      </c>
      <c r="AF12" s="8">
        <v>641.37</v>
      </c>
      <c r="AG12" s="8">
        <v>678.75</v>
      </c>
      <c r="AH12" s="8">
        <v>450.01</v>
      </c>
      <c r="AI12" s="8">
        <v>212.75</v>
      </c>
      <c r="AJ12" s="8">
        <v>284.87</v>
      </c>
    </row>
    <row r="13" spans="1:36" ht="14.25" customHeight="1" x14ac:dyDescent="0.35">
      <c r="A13" s="5" t="s">
        <v>12</v>
      </c>
      <c r="B13" s="8">
        <v>84.78</v>
      </c>
      <c r="C13" s="8">
        <v>85.26</v>
      </c>
      <c r="D13" s="8">
        <v>102.13</v>
      </c>
      <c r="E13" s="8">
        <v>206.47</v>
      </c>
      <c r="F13" s="8">
        <v>118.87</v>
      </c>
      <c r="G13" s="8">
        <v>584.65</v>
      </c>
      <c r="H13" s="8">
        <v>324.39</v>
      </c>
      <c r="I13" s="8">
        <v>366.18</v>
      </c>
      <c r="J13" s="8">
        <v>404.23</v>
      </c>
      <c r="K13" s="8">
        <v>496.2</v>
      </c>
      <c r="L13" s="8">
        <v>476.64</v>
      </c>
      <c r="M13" s="8">
        <v>0</v>
      </c>
      <c r="N13" s="8">
        <v>139.44</v>
      </c>
      <c r="O13" s="8">
        <v>213.33</v>
      </c>
      <c r="P13" s="8">
        <v>464.66</v>
      </c>
      <c r="Q13" s="8">
        <v>530.54</v>
      </c>
      <c r="R13" s="8">
        <v>173.11</v>
      </c>
      <c r="S13" s="8">
        <v>128.91</v>
      </c>
      <c r="T13" s="8">
        <v>97.6</v>
      </c>
      <c r="U13" s="8">
        <v>171.17</v>
      </c>
      <c r="V13" s="8">
        <v>37.729999999999997</v>
      </c>
      <c r="W13" s="8">
        <v>411.75</v>
      </c>
      <c r="X13" s="8">
        <v>83.11</v>
      </c>
      <c r="Y13" s="8">
        <v>171.79</v>
      </c>
      <c r="Z13" s="8">
        <v>338.43</v>
      </c>
      <c r="AA13" s="8">
        <v>588.73</v>
      </c>
      <c r="AB13" s="8">
        <v>237.13</v>
      </c>
      <c r="AC13" s="8">
        <v>333.5</v>
      </c>
      <c r="AD13" s="8">
        <v>531.1</v>
      </c>
      <c r="AE13" s="8">
        <v>440.63</v>
      </c>
      <c r="AF13" s="8">
        <v>166.67</v>
      </c>
      <c r="AG13" s="8">
        <v>671.86</v>
      </c>
      <c r="AH13" s="8">
        <v>407.73</v>
      </c>
      <c r="AI13" s="8">
        <v>442.7</v>
      </c>
      <c r="AJ13" s="8">
        <v>225.39</v>
      </c>
    </row>
    <row r="14" spans="1:36" ht="14.25" customHeight="1" x14ac:dyDescent="0.35">
      <c r="A14" s="5" t="s">
        <v>13</v>
      </c>
      <c r="B14" s="8">
        <v>143.25</v>
      </c>
      <c r="C14" s="8">
        <v>177.71</v>
      </c>
      <c r="D14" s="8">
        <v>209.07</v>
      </c>
      <c r="E14" s="8">
        <v>270.05</v>
      </c>
      <c r="F14" s="8">
        <v>236.94</v>
      </c>
      <c r="G14" s="8">
        <v>589.41999999999996</v>
      </c>
      <c r="H14" s="8">
        <v>199.66</v>
      </c>
      <c r="I14" s="8">
        <v>275.82</v>
      </c>
      <c r="J14" s="8">
        <v>298.36</v>
      </c>
      <c r="K14" s="8">
        <v>357.76</v>
      </c>
      <c r="L14" s="8">
        <v>340.52</v>
      </c>
      <c r="M14" s="8">
        <v>139.44</v>
      </c>
      <c r="N14" s="8">
        <v>0</v>
      </c>
      <c r="O14" s="8">
        <v>117.4</v>
      </c>
      <c r="P14" s="8">
        <v>348.35</v>
      </c>
      <c r="Q14" s="8">
        <v>420.31</v>
      </c>
      <c r="R14" s="8">
        <v>115.97</v>
      </c>
      <c r="S14" s="8">
        <v>97.63</v>
      </c>
      <c r="T14" s="8">
        <v>50.09</v>
      </c>
      <c r="U14" s="8">
        <v>74.55</v>
      </c>
      <c r="V14" s="8">
        <v>108.54</v>
      </c>
      <c r="W14" s="8">
        <v>310.66000000000003</v>
      </c>
      <c r="X14" s="8">
        <v>56.88</v>
      </c>
      <c r="Y14" s="8">
        <v>88.55</v>
      </c>
      <c r="Z14" s="8">
        <v>261.16000000000003</v>
      </c>
      <c r="AA14" s="8">
        <v>544.75</v>
      </c>
      <c r="AB14" s="8">
        <v>314.72000000000003</v>
      </c>
      <c r="AC14" s="8">
        <v>325.82</v>
      </c>
      <c r="AD14" s="8">
        <v>594.65</v>
      </c>
      <c r="AE14" s="8">
        <v>321.64</v>
      </c>
      <c r="AF14" s="8">
        <v>301.16000000000003</v>
      </c>
      <c r="AG14" s="8">
        <v>663.82</v>
      </c>
      <c r="AH14" s="8">
        <v>386.01</v>
      </c>
      <c r="AI14" s="8">
        <v>310.93</v>
      </c>
      <c r="AJ14" s="8">
        <v>135.15</v>
      </c>
    </row>
    <row r="15" spans="1:36" ht="14.25" customHeight="1" x14ac:dyDescent="0.35">
      <c r="A15" s="5" t="s">
        <v>14</v>
      </c>
      <c r="B15" s="8">
        <v>163.80000000000001</v>
      </c>
      <c r="C15" s="8">
        <v>202.53</v>
      </c>
      <c r="D15" s="8">
        <v>233.9</v>
      </c>
      <c r="E15" s="8">
        <v>241.41</v>
      </c>
      <c r="F15" s="8">
        <v>265.29000000000002</v>
      </c>
      <c r="G15" s="8">
        <v>704.19</v>
      </c>
      <c r="H15" s="8">
        <v>252.42</v>
      </c>
      <c r="I15" s="8">
        <v>360.02</v>
      </c>
      <c r="J15" s="8">
        <v>366.35</v>
      </c>
      <c r="K15" s="8">
        <v>315.60000000000002</v>
      </c>
      <c r="L15" s="8">
        <v>346.05</v>
      </c>
      <c r="M15" s="8">
        <v>213.33</v>
      </c>
      <c r="N15" s="8">
        <v>117.4</v>
      </c>
      <c r="O15" s="8">
        <v>0</v>
      </c>
      <c r="P15" s="8">
        <v>251.64</v>
      </c>
      <c r="Q15" s="8">
        <v>317.48</v>
      </c>
      <c r="R15" s="8">
        <v>54.93</v>
      </c>
      <c r="S15" s="8">
        <v>91.01</v>
      </c>
      <c r="T15" s="8">
        <v>123.44</v>
      </c>
      <c r="U15" s="8">
        <v>45.91</v>
      </c>
      <c r="V15" s="8">
        <v>175.61</v>
      </c>
      <c r="W15" s="8">
        <v>200.59</v>
      </c>
      <c r="X15" s="8">
        <v>152.74</v>
      </c>
      <c r="Y15" s="8">
        <v>41.55</v>
      </c>
      <c r="Z15" s="8">
        <v>143.76</v>
      </c>
      <c r="AA15" s="8">
        <v>645.80999999999995</v>
      </c>
      <c r="AB15" s="8">
        <v>425.19</v>
      </c>
      <c r="AC15" s="8">
        <v>441.02</v>
      </c>
      <c r="AD15" s="8">
        <v>710.17</v>
      </c>
      <c r="AE15" s="8">
        <v>228.49</v>
      </c>
      <c r="AF15" s="8">
        <v>343</v>
      </c>
      <c r="AG15" s="8">
        <v>775.56</v>
      </c>
      <c r="AH15" s="8">
        <v>497.46</v>
      </c>
      <c r="AI15" s="8">
        <v>242.63</v>
      </c>
      <c r="AJ15" s="8">
        <v>235.58</v>
      </c>
    </row>
    <row r="16" spans="1:36" ht="14.25" customHeight="1" x14ac:dyDescent="0.35">
      <c r="A16" s="5" t="s">
        <v>15</v>
      </c>
      <c r="B16" s="8">
        <v>411.08</v>
      </c>
      <c r="C16" s="8">
        <v>447.84</v>
      </c>
      <c r="D16" s="8">
        <v>476.89</v>
      </c>
      <c r="E16" s="8">
        <v>447.98</v>
      </c>
      <c r="F16" s="8">
        <v>507.63</v>
      </c>
      <c r="G16" s="8">
        <v>879.91</v>
      </c>
      <c r="H16" s="8">
        <v>349.78</v>
      </c>
      <c r="I16" s="8">
        <v>477.77</v>
      </c>
      <c r="J16" s="8">
        <v>450.7</v>
      </c>
      <c r="K16" s="8">
        <v>190.4</v>
      </c>
      <c r="L16" s="8">
        <v>313.89999999999998</v>
      </c>
      <c r="M16" s="8">
        <v>464.66</v>
      </c>
      <c r="N16" s="8">
        <v>348.35</v>
      </c>
      <c r="O16" s="8">
        <v>251.64</v>
      </c>
      <c r="P16" s="8">
        <v>0</v>
      </c>
      <c r="Q16" s="8">
        <v>76.510000000000005</v>
      </c>
      <c r="R16" s="8">
        <v>299.02</v>
      </c>
      <c r="S16" s="8">
        <v>341.04</v>
      </c>
      <c r="T16" s="8">
        <v>371.15</v>
      </c>
      <c r="U16" s="8">
        <v>293.89999999999998</v>
      </c>
      <c r="V16" s="8">
        <v>426.95</v>
      </c>
      <c r="W16" s="8">
        <v>80.599999999999994</v>
      </c>
      <c r="X16" s="8">
        <v>397.17</v>
      </c>
      <c r="Y16" s="8">
        <v>293.12</v>
      </c>
      <c r="Z16" s="8">
        <v>174.26</v>
      </c>
      <c r="AA16" s="8">
        <v>771.25</v>
      </c>
      <c r="AB16" s="8">
        <v>662.32</v>
      </c>
      <c r="AC16" s="8">
        <v>630.34</v>
      </c>
      <c r="AD16" s="8">
        <v>932.89</v>
      </c>
      <c r="AE16" s="8">
        <v>29.05</v>
      </c>
      <c r="AF16" s="8">
        <v>587.4</v>
      </c>
      <c r="AG16" s="8">
        <v>933.49</v>
      </c>
      <c r="AH16" s="8">
        <v>667.06</v>
      </c>
      <c r="AI16" s="8">
        <v>101.19</v>
      </c>
      <c r="AJ16" s="8">
        <v>412.67</v>
      </c>
    </row>
    <row r="17" spans="1:36" ht="14.25" customHeight="1" x14ac:dyDescent="0.35">
      <c r="A17" s="5" t="s">
        <v>16</v>
      </c>
      <c r="B17" s="8">
        <v>471.11</v>
      </c>
      <c r="C17" s="8">
        <v>506.16</v>
      </c>
      <c r="D17" s="8">
        <v>533.52</v>
      </c>
      <c r="E17" s="8">
        <v>491.81</v>
      </c>
      <c r="F17" s="8">
        <v>563.48</v>
      </c>
      <c r="G17" s="8">
        <v>956.18</v>
      </c>
      <c r="H17" s="8">
        <v>425.06</v>
      </c>
      <c r="I17" s="8">
        <v>552.62</v>
      </c>
      <c r="J17" s="8">
        <v>523.42999999999995</v>
      </c>
      <c r="K17" s="8">
        <v>242.33</v>
      </c>
      <c r="L17" s="8">
        <v>375.92</v>
      </c>
      <c r="M17" s="8">
        <v>530.54</v>
      </c>
      <c r="N17" s="8">
        <v>420.31</v>
      </c>
      <c r="O17" s="8">
        <v>317.48</v>
      </c>
      <c r="P17" s="8">
        <v>76.510000000000005</v>
      </c>
      <c r="Q17" s="8">
        <v>0</v>
      </c>
      <c r="R17" s="8">
        <v>360.55</v>
      </c>
      <c r="S17" s="8">
        <v>403.99</v>
      </c>
      <c r="T17" s="8">
        <v>439.63</v>
      </c>
      <c r="U17" s="8">
        <v>361.62</v>
      </c>
      <c r="V17" s="8">
        <v>492.86</v>
      </c>
      <c r="W17" s="8">
        <v>122.14</v>
      </c>
      <c r="X17" s="8">
        <v>466.95</v>
      </c>
      <c r="Y17" s="8">
        <v>358.91</v>
      </c>
      <c r="Z17" s="8">
        <v>214.51</v>
      </c>
      <c r="AA17" s="8">
        <v>844.77</v>
      </c>
      <c r="AB17" s="8">
        <v>734.96</v>
      </c>
      <c r="AC17" s="8">
        <v>706.82</v>
      </c>
      <c r="AD17" s="8">
        <v>1008.12</v>
      </c>
      <c r="AE17" s="8">
        <v>105.56</v>
      </c>
      <c r="AF17" s="8">
        <v>643.53</v>
      </c>
      <c r="AG17" s="8">
        <v>1008.91</v>
      </c>
      <c r="AH17" s="8">
        <v>743.38</v>
      </c>
      <c r="AI17" s="8">
        <v>168</v>
      </c>
      <c r="AJ17" s="8">
        <v>489.03</v>
      </c>
    </row>
    <row r="18" spans="1:36" ht="14.25" customHeight="1" x14ac:dyDescent="0.35">
      <c r="A18" s="5" t="s">
        <v>17</v>
      </c>
      <c r="B18" s="8">
        <v>112.19</v>
      </c>
      <c r="C18" s="8">
        <v>149.87</v>
      </c>
      <c r="D18" s="8">
        <v>180.47</v>
      </c>
      <c r="E18" s="8">
        <v>189.19</v>
      </c>
      <c r="F18" s="8">
        <v>211.78</v>
      </c>
      <c r="G18" s="8">
        <v>702.53</v>
      </c>
      <c r="H18" s="8">
        <v>287.83</v>
      </c>
      <c r="I18" s="8">
        <v>384.12</v>
      </c>
      <c r="J18" s="8">
        <v>397.94</v>
      </c>
      <c r="K18" s="8">
        <v>370.44</v>
      </c>
      <c r="L18" s="8">
        <v>395.57</v>
      </c>
      <c r="M18" s="8">
        <v>173.11</v>
      </c>
      <c r="N18" s="8">
        <v>115.97</v>
      </c>
      <c r="O18" s="8">
        <v>54.93</v>
      </c>
      <c r="P18" s="8">
        <v>299.02</v>
      </c>
      <c r="Q18" s="8">
        <v>360.55</v>
      </c>
      <c r="R18" s="8">
        <v>0</v>
      </c>
      <c r="S18" s="8">
        <v>44.23</v>
      </c>
      <c r="T18" s="8">
        <v>98.69</v>
      </c>
      <c r="U18" s="8">
        <v>49.81</v>
      </c>
      <c r="V18" s="8">
        <v>136.37</v>
      </c>
      <c r="W18" s="8">
        <v>239.99</v>
      </c>
      <c r="X18" s="8">
        <v>130.04</v>
      </c>
      <c r="Y18" s="8">
        <v>32.97</v>
      </c>
      <c r="Z18" s="8">
        <v>166.17</v>
      </c>
      <c r="AA18" s="8">
        <v>660.13</v>
      </c>
      <c r="AB18" s="8">
        <v>398.82</v>
      </c>
      <c r="AC18" s="8">
        <v>439.14</v>
      </c>
      <c r="AD18" s="8">
        <v>689.25</v>
      </c>
      <c r="AE18" s="8">
        <v>277.72000000000003</v>
      </c>
      <c r="AF18" s="8">
        <v>290.38</v>
      </c>
      <c r="AG18" s="8">
        <v>778.87</v>
      </c>
      <c r="AH18" s="8">
        <v>501.43</v>
      </c>
      <c r="AI18" s="8">
        <v>296.89</v>
      </c>
      <c r="AJ18" s="8">
        <v>248.95</v>
      </c>
    </row>
    <row r="19" spans="1:36" ht="14.25" customHeight="1" x14ac:dyDescent="0.35">
      <c r="A19" s="5" t="s">
        <v>18</v>
      </c>
      <c r="B19" s="8">
        <v>73.39</v>
      </c>
      <c r="C19" s="8">
        <v>112.64</v>
      </c>
      <c r="D19" s="8">
        <v>144.75</v>
      </c>
      <c r="E19" s="8">
        <v>177.12</v>
      </c>
      <c r="F19" s="8">
        <v>176.04</v>
      </c>
      <c r="G19" s="8">
        <v>671.09</v>
      </c>
      <c r="H19" s="8">
        <v>289.19</v>
      </c>
      <c r="I19" s="8">
        <v>373.35</v>
      </c>
      <c r="J19" s="8">
        <v>393.7</v>
      </c>
      <c r="K19" s="8">
        <v>400.18</v>
      </c>
      <c r="L19" s="8">
        <v>412.13</v>
      </c>
      <c r="M19" s="8">
        <v>128.91</v>
      </c>
      <c r="N19" s="8">
        <v>97.63</v>
      </c>
      <c r="O19" s="8">
        <v>91.01</v>
      </c>
      <c r="P19" s="8">
        <v>341.04</v>
      </c>
      <c r="Q19" s="8">
        <v>403.99</v>
      </c>
      <c r="R19" s="8">
        <v>44.23</v>
      </c>
      <c r="S19" s="8">
        <v>0</v>
      </c>
      <c r="T19" s="8">
        <v>64.12</v>
      </c>
      <c r="U19" s="8">
        <v>61.35</v>
      </c>
      <c r="V19" s="8">
        <v>92.37</v>
      </c>
      <c r="W19" s="8">
        <v>283.89</v>
      </c>
      <c r="X19" s="8">
        <v>93.9</v>
      </c>
      <c r="Y19" s="8">
        <v>52.31</v>
      </c>
      <c r="Z19" s="8">
        <v>209.88</v>
      </c>
      <c r="AA19" s="8">
        <v>639.39</v>
      </c>
      <c r="AB19" s="8">
        <v>356.92</v>
      </c>
      <c r="AC19" s="8">
        <v>408.77</v>
      </c>
      <c r="AD19" s="8">
        <v>648.64</v>
      </c>
      <c r="AE19" s="8">
        <v>318.8</v>
      </c>
      <c r="AF19" s="8">
        <v>252.57</v>
      </c>
      <c r="AG19" s="8">
        <v>750.21</v>
      </c>
      <c r="AH19" s="8">
        <v>474.32</v>
      </c>
      <c r="AI19" s="8">
        <v>332.43</v>
      </c>
      <c r="AJ19" s="8">
        <v>232.4</v>
      </c>
    </row>
    <row r="20" spans="1:36" ht="14.25" customHeight="1" x14ac:dyDescent="0.35">
      <c r="A20" s="5" t="s">
        <v>19</v>
      </c>
      <c r="B20" s="8">
        <v>93.85</v>
      </c>
      <c r="C20" s="8">
        <v>127.63</v>
      </c>
      <c r="D20" s="8">
        <v>159.01</v>
      </c>
      <c r="E20" s="8">
        <v>224.2</v>
      </c>
      <c r="F20" s="8">
        <v>187.16</v>
      </c>
      <c r="G20" s="8">
        <v>607.12</v>
      </c>
      <c r="H20" s="8">
        <v>249.43</v>
      </c>
      <c r="I20" s="8">
        <v>319.12</v>
      </c>
      <c r="J20" s="8">
        <v>345.46</v>
      </c>
      <c r="K20" s="8">
        <v>399.7</v>
      </c>
      <c r="L20" s="8">
        <v>389.6</v>
      </c>
      <c r="M20" s="8">
        <v>97.6</v>
      </c>
      <c r="N20" s="8">
        <v>50.09</v>
      </c>
      <c r="O20" s="8">
        <v>123.44</v>
      </c>
      <c r="P20" s="8">
        <v>371.15</v>
      </c>
      <c r="Q20" s="8">
        <v>439.63</v>
      </c>
      <c r="R20" s="8">
        <v>98.69</v>
      </c>
      <c r="S20" s="8">
        <v>64.12</v>
      </c>
      <c r="T20" s="8">
        <v>0</v>
      </c>
      <c r="U20" s="8">
        <v>78.12</v>
      </c>
      <c r="V20" s="8">
        <v>62.42</v>
      </c>
      <c r="W20" s="8">
        <v>324</v>
      </c>
      <c r="X20" s="8">
        <v>31.37</v>
      </c>
      <c r="Y20" s="8">
        <v>83.82</v>
      </c>
      <c r="Z20" s="8">
        <v>261.14999999999998</v>
      </c>
      <c r="AA20" s="8">
        <v>577.41999999999996</v>
      </c>
      <c r="AB20" s="8">
        <v>303.01</v>
      </c>
      <c r="AC20" s="8">
        <v>344.67</v>
      </c>
      <c r="AD20" s="8">
        <v>591.44000000000005</v>
      </c>
      <c r="AE20" s="8">
        <v>346.11</v>
      </c>
      <c r="AF20" s="8">
        <v>253.35</v>
      </c>
      <c r="AG20" s="8">
        <v>686.11</v>
      </c>
      <c r="AH20" s="8">
        <v>410.45</v>
      </c>
      <c r="AI20" s="8">
        <v>345.2</v>
      </c>
      <c r="AJ20" s="8">
        <v>175.38</v>
      </c>
    </row>
    <row r="21" spans="1:36" ht="14.25" customHeight="1" x14ac:dyDescent="0.35">
      <c r="A21" s="5" t="s">
        <v>20</v>
      </c>
      <c r="B21" s="8">
        <v>133.24</v>
      </c>
      <c r="C21" s="8">
        <v>172.62</v>
      </c>
      <c r="D21" s="8">
        <v>205.1</v>
      </c>
      <c r="E21" s="8">
        <v>233.23</v>
      </c>
      <c r="F21" s="8">
        <v>236.18</v>
      </c>
      <c r="G21" s="8">
        <v>663.87</v>
      </c>
      <c r="H21" s="8">
        <v>238.36</v>
      </c>
      <c r="I21" s="8">
        <v>334.94</v>
      </c>
      <c r="J21" s="8">
        <v>348.13</v>
      </c>
      <c r="K21" s="8">
        <v>339.54</v>
      </c>
      <c r="L21" s="8">
        <v>352.3</v>
      </c>
      <c r="M21" s="8">
        <v>171.17</v>
      </c>
      <c r="N21" s="8">
        <v>74.55</v>
      </c>
      <c r="O21" s="8">
        <v>45.91</v>
      </c>
      <c r="P21" s="8">
        <v>293.89999999999998</v>
      </c>
      <c r="Q21" s="8">
        <v>361.62</v>
      </c>
      <c r="R21" s="8">
        <v>49.81</v>
      </c>
      <c r="S21" s="8">
        <v>61.35</v>
      </c>
      <c r="T21" s="8">
        <v>78.12</v>
      </c>
      <c r="U21" s="8">
        <v>0</v>
      </c>
      <c r="V21" s="8">
        <v>133.63</v>
      </c>
      <c r="W21" s="8">
        <v>246.04</v>
      </c>
      <c r="X21" s="8">
        <v>106.89</v>
      </c>
      <c r="Y21" s="8">
        <v>16.95</v>
      </c>
      <c r="Z21" s="8">
        <v>188.11</v>
      </c>
      <c r="AA21" s="8">
        <v>613.84</v>
      </c>
      <c r="AB21" s="8">
        <v>379.27</v>
      </c>
      <c r="AC21" s="8">
        <v>400.29</v>
      </c>
      <c r="AD21" s="8">
        <v>664.64</v>
      </c>
      <c r="AE21" s="8">
        <v>269.52</v>
      </c>
      <c r="AF21" s="8">
        <v>311.04000000000002</v>
      </c>
      <c r="AG21" s="8">
        <v>737.5</v>
      </c>
      <c r="AH21" s="8">
        <v>459.45</v>
      </c>
      <c r="AI21" s="8">
        <v>275.20999999999998</v>
      </c>
      <c r="AJ21" s="8">
        <v>202.15</v>
      </c>
    </row>
    <row r="22" spans="1:36" ht="14.25" customHeight="1" x14ac:dyDescent="0.35">
      <c r="A22" s="5" t="s">
        <v>21</v>
      </c>
      <c r="B22" s="8">
        <v>63.78</v>
      </c>
      <c r="C22" s="8">
        <v>81.59</v>
      </c>
      <c r="D22" s="8">
        <v>108.12</v>
      </c>
      <c r="E22" s="8">
        <v>197.18</v>
      </c>
      <c r="F22" s="8">
        <v>132.34</v>
      </c>
      <c r="G22" s="8">
        <v>601.80999999999995</v>
      </c>
      <c r="H22" s="8">
        <v>301.88</v>
      </c>
      <c r="I22" s="8">
        <v>355.66</v>
      </c>
      <c r="J22" s="8">
        <v>389.13</v>
      </c>
      <c r="K22" s="8">
        <v>462.12</v>
      </c>
      <c r="L22" s="8">
        <v>448.77</v>
      </c>
      <c r="M22" s="8">
        <v>37.729999999999997</v>
      </c>
      <c r="N22" s="8">
        <v>108.54</v>
      </c>
      <c r="O22" s="8">
        <v>175.61</v>
      </c>
      <c r="P22" s="8">
        <v>426.95</v>
      </c>
      <c r="Q22" s="8">
        <v>492.86</v>
      </c>
      <c r="R22" s="8">
        <v>136.37</v>
      </c>
      <c r="S22" s="8">
        <v>92.37</v>
      </c>
      <c r="T22" s="8">
        <v>62.42</v>
      </c>
      <c r="U22" s="8">
        <v>133.63</v>
      </c>
      <c r="V22" s="8">
        <v>0</v>
      </c>
      <c r="W22" s="8">
        <v>374.26</v>
      </c>
      <c r="X22" s="8">
        <v>56.23</v>
      </c>
      <c r="Y22" s="8">
        <v>134.07</v>
      </c>
      <c r="Z22" s="8">
        <v>302.25</v>
      </c>
      <c r="AA22" s="8">
        <v>593.41999999999996</v>
      </c>
      <c r="AB22" s="8">
        <v>267.49</v>
      </c>
      <c r="AC22" s="8">
        <v>345.19</v>
      </c>
      <c r="AD22" s="8">
        <v>560.87</v>
      </c>
      <c r="AE22" s="8">
        <v>403</v>
      </c>
      <c r="AF22" s="8">
        <v>192.66</v>
      </c>
      <c r="AG22" s="8">
        <v>686.29</v>
      </c>
      <c r="AH22" s="8">
        <v>416.86</v>
      </c>
      <c r="AI22" s="8">
        <v>406.26</v>
      </c>
      <c r="AJ22" s="8">
        <v>211.9</v>
      </c>
    </row>
    <row r="23" spans="1:36" ht="14.25" customHeight="1" x14ac:dyDescent="0.35">
      <c r="A23" s="5" t="s">
        <v>22</v>
      </c>
      <c r="B23" s="8">
        <v>349.57</v>
      </c>
      <c r="C23" s="8">
        <v>384.21</v>
      </c>
      <c r="D23" s="8">
        <v>411.4</v>
      </c>
      <c r="E23" s="8">
        <v>372.71</v>
      </c>
      <c r="F23" s="8">
        <v>441.34</v>
      </c>
      <c r="G23" s="8">
        <v>873.34</v>
      </c>
      <c r="H23" s="8">
        <v>358.04</v>
      </c>
      <c r="I23" s="8">
        <v>485.69</v>
      </c>
      <c r="J23" s="8">
        <v>468.13</v>
      </c>
      <c r="K23" s="8">
        <v>252.51</v>
      </c>
      <c r="L23" s="8">
        <v>358.58</v>
      </c>
      <c r="M23" s="8">
        <v>411.75</v>
      </c>
      <c r="N23" s="8">
        <v>310.66000000000003</v>
      </c>
      <c r="O23" s="8">
        <v>200.59</v>
      </c>
      <c r="P23" s="8">
        <v>80.599999999999994</v>
      </c>
      <c r="Q23" s="8">
        <v>122.14</v>
      </c>
      <c r="R23" s="8">
        <v>239.99</v>
      </c>
      <c r="S23" s="8">
        <v>283.89</v>
      </c>
      <c r="T23" s="8">
        <v>324</v>
      </c>
      <c r="U23" s="8">
        <v>246.04</v>
      </c>
      <c r="V23" s="8">
        <v>374.26</v>
      </c>
      <c r="W23" s="8">
        <v>0</v>
      </c>
      <c r="X23" s="8">
        <v>352.79</v>
      </c>
      <c r="Y23" s="8">
        <v>241.3</v>
      </c>
      <c r="Z23" s="8">
        <v>95.71</v>
      </c>
      <c r="AA23" s="8">
        <v>782.13</v>
      </c>
      <c r="AB23" s="8">
        <v>624.23</v>
      </c>
      <c r="AC23" s="8">
        <v>616.04999999999995</v>
      </c>
      <c r="AD23" s="8">
        <v>904.55</v>
      </c>
      <c r="AE23" s="8">
        <v>79.94</v>
      </c>
      <c r="AF23" s="8">
        <v>521.39</v>
      </c>
      <c r="AG23" s="8">
        <v>934.19</v>
      </c>
      <c r="AH23" s="8">
        <v>660.98</v>
      </c>
      <c r="AI23" s="8">
        <v>154.9</v>
      </c>
      <c r="AJ23" s="8">
        <v>398.25</v>
      </c>
    </row>
    <row r="24" spans="1:36" ht="14.25" customHeight="1" x14ac:dyDescent="0.35">
      <c r="A24" s="5" t="s">
        <v>23</v>
      </c>
      <c r="B24" s="8">
        <v>107.07</v>
      </c>
      <c r="C24" s="8">
        <v>134.5</v>
      </c>
      <c r="D24" s="8">
        <v>163.25</v>
      </c>
      <c r="E24" s="8">
        <v>241.8</v>
      </c>
      <c r="F24" s="8">
        <v>188.46</v>
      </c>
      <c r="G24" s="8">
        <v>577.4</v>
      </c>
      <c r="H24" s="8">
        <v>245.65</v>
      </c>
      <c r="I24" s="8">
        <v>303.39</v>
      </c>
      <c r="J24" s="8">
        <v>334.37</v>
      </c>
      <c r="K24" s="8">
        <v>414.61</v>
      </c>
      <c r="L24" s="8">
        <v>394.14</v>
      </c>
      <c r="M24" s="8">
        <v>83.11</v>
      </c>
      <c r="N24" s="8">
        <v>56.88</v>
      </c>
      <c r="O24" s="8">
        <v>152.74</v>
      </c>
      <c r="P24" s="8">
        <v>397.17</v>
      </c>
      <c r="Q24" s="8">
        <v>466.95</v>
      </c>
      <c r="R24" s="8">
        <v>130.04</v>
      </c>
      <c r="S24" s="8">
        <v>93.9</v>
      </c>
      <c r="T24" s="8">
        <v>31.37</v>
      </c>
      <c r="U24" s="8">
        <v>106.89</v>
      </c>
      <c r="V24" s="8">
        <v>56.23</v>
      </c>
      <c r="W24" s="8">
        <v>352.79</v>
      </c>
      <c r="X24" s="8">
        <v>0</v>
      </c>
      <c r="Y24" s="8">
        <v>114.26</v>
      </c>
      <c r="Z24" s="8">
        <v>292.08</v>
      </c>
      <c r="AA24" s="8">
        <v>553.01</v>
      </c>
      <c r="AB24" s="8">
        <v>272.63</v>
      </c>
      <c r="AC24" s="8">
        <v>315.64999999999998</v>
      </c>
      <c r="AD24" s="8">
        <v>560.25</v>
      </c>
      <c r="AE24" s="8">
        <v>371.45</v>
      </c>
      <c r="AF24" s="8">
        <v>247.49</v>
      </c>
      <c r="AG24" s="8">
        <v>657.48</v>
      </c>
      <c r="AH24" s="8">
        <v>382.93</v>
      </c>
      <c r="AI24" s="8">
        <v>365.76</v>
      </c>
      <c r="AJ24" s="8">
        <v>158.94999999999999</v>
      </c>
    </row>
    <row r="25" spans="1:36" ht="14.25" customHeight="1" x14ac:dyDescent="0.35">
      <c r="A25" s="5" t="s">
        <v>24</v>
      </c>
      <c r="B25" s="8">
        <v>125.67</v>
      </c>
      <c r="C25" s="8">
        <v>164.95</v>
      </c>
      <c r="D25" s="8">
        <v>197.03</v>
      </c>
      <c r="E25" s="8">
        <v>218.75</v>
      </c>
      <c r="F25" s="8">
        <v>228.34</v>
      </c>
      <c r="G25" s="8">
        <v>677.82</v>
      </c>
      <c r="H25" s="8">
        <v>254.92</v>
      </c>
      <c r="I25" s="8">
        <v>351.85</v>
      </c>
      <c r="J25" s="8">
        <v>365</v>
      </c>
      <c r="K25" s="8">
        <v>348.26</v>
      </c>
      <c r="L25" s="8">
        <v>365.98</v>
      </c>
      <c r="M25" s="8">
        <v>171.79</v>
      </c>
      <c r="N25" s="8">
        <v>88.55</v>
      </c>
      <c r="O25" s="8">
        <v>41.55</v>
      </c>
      <c r="P25" s="8">
        <v>293.12</v>
      </c>
      <c r="Q25" s="8">
        <v>358.91</v>
      </c>
      <c r="R25" s="8">
        <v>32.97</v>
      </c>
      <c r="S25" s="8">
        <v>52.31</v>
      </c>
      <c r="T25" s="8">
        <v>83.82</v>
      </c>
      <c r="U25" s="8">
        <v>16.95</v>
      </c>
      <c r="V25" s="8">
        <v>134.07</v>
      </c>
      <c r="W25" s="8">
        <v>241.3</v>
      </c>
      <c r="X25" s="8">
        <v>114.26</v>
      </c>
      <c r="Y25" s="8">
        <v>0</v>
      </c>
      <c r="Z25" s="8">
        <v>178.04</v>
      </c>
      <c r="AA25" s="8">
        <v>630.05999999999995</v>
      </c>
      <c r="AB25" s="8">
        <v>386.76</v>
      </c>
      <c r="AC25" s="8">
        <v>414.2</v>
      </c>
      <c r="AD25" s="8">
        <v>674.06</v>
      </c>
      <c r="AE25" s="8">
        <v>269.73</v>
      </c>
      <c r="AF25" s="8">
        <v>304.70999999999998</v>
      </c>
      <c r="AG25" s="8">
        <v>752.3</v>
      </c>
      <c r="AH25" s="8">
        <v>474.38</v>
      </c>
      <c r="AI25" s="8">
        <v>280.32</v>
      </c>
      <c r="AJ25" s="8">
        <v>218.43</v>
      </c>
    </row>
    <row r="26" spans="1:36" ht="14.25" customHeight="1" x14ac:dyDescent="0.35">
      <c r="A26" s="6" t="s">
        <v>25</v>
      </c>
      <c r="B26" s="8">
        <v>267.63</v>
      </c>
      <c r="C26" s="8">
        <v>299.19</v>
      </c>
      <c r="D26" s="8">
        <v>324.05</v>
      </c>
      <c r="E26" s="8">
        <v>277.58999999999997</v>
      </c>
      <c r="F26" s="8">
        <v>352.9</v>
      </c>
      <c r="G26" s="8">
        <v>845.98</v>
      </c>
      <c r="H26" s="8">
        <v>362.08</v>
      </c>
      <c r="I26" s="8">
        <v>483.14</v>
      </c>
      <c r="J26" s="8">
        <v>477.45</v>
      </c>
      <c r="K26" s="8">
        <v>321.56</v>
      </c>
      <c r="L26" s="8">
        <v>403.79</v>
      </c>
      <c r="M26" s="8">
        <v>338.43</v>
      </c>
      <c r="N26" s="8">
        <v>261.16000000000003</v>
      </c>
      <c r="O26" s="8">
        <v>143.76</v>
      </c>
      <c r="P26" s="8">
        <v>174.26</v>
      </c>
      <c r="Q26" s="8">
        <v>214.51</v>
      </c>
      <c r="R26" s="8">
        <v>166.17</v>
      </c>
      <c r="S26" s="8">
        <v>209.88</v>
      </c>
      <c r="T26" s="8">
        <v>261.14999999999998</v>
      </c>
      <c r="U26" s="8">
        <v>188.11</v>
      </c>
      <c r="V26" s="8">
        <v>302.25</v>
      </c>
      <c r="W26" s="8">
        <v>95.71</v>
      </c>
      <c r="X26" s="8">
        <v>292.08</v>
      </c>
      <c r="Y26" s="8">
        <v>178.04</v>
      </c>
      <c r="Z26" s="8">
        <v>0</v>
      </c>
      <c r="AA26" s="8">
        <v>776.48</v>
      </c>
      <c r="AB26" s="8">
        <v>563.9</v>
      </c>
      <c r="AC26" s="8">
        <v>583.49</v>
      </c>
      <c r="AD26" s="8">
        <v>852.1</v>
      </c>
      <c r="AE26" s="8">
        <v>165.96</v>
      </c>
      <c r="AF26" s="8">
        <v>432.64</v>
      </c>
      <c r="AG26" s="8">
        <v>914.71</v>
      </c>
      <c r="AH26" s="8">
        <v>637.21</v>
      </c>
      <c r="AI26" s="8">
        <v>225.48</v>
      </c>
      <c r="AJ26" s="8">
        <v>372.74</v>
      </c>
    </row>
    <row r="27" spans="1:36" ht="14.25" customHeight="1" x14ac:dyDescent="0.35">
      <c r="A27" s="6" t="s">
        <v>26</v>
      </c>
      <c r="B27" s="8">
        <v>656</v>
      </c>
      <c r="C27" s="8">
        <v>672.04</v>
      </c>
      <c r="D27" s="8">
        <v>690.63</v>
      </c>
      <c r="E27" s="8">
        <v>790.6</v>
      </c>
      <c r="F27" s="8">
        <v>702.76</v>
      </c>
      <c r="G27" s="8">
        <v>204.45</v>
      </c>
      <c r="H27" s="8">
        <v>424.37</v>
      </c>
      <c r="I27" s="8">
        <v>296.45999999999998</v>
      </c>
      <c r="J27" s="8">
        <v>321.76</v>
      </c>
      <c r="K27" s="8">
        <v>633.1</v>
      </c>
      <c r="L27" s="8">
        <v>497.32</v>
      </c>
      <c r="M27" s="8">
        <v>588.73</v>
      </c>
      <c r="N27" s="8">
        <v>544.75</v>
      </c>
      <c r="O27" s="8">
        <v>645.80999999999995</v>
      </c>
      <c r="P27" s="8">
        <v>771.25</v>
      </c>
      <c r="Q27" s="8">
        <v>844.77</v>
      </c>
      <c r="R27" s="8">
        <v>660.13</v>
      </c>
      <c r="S27" s="8">
        <v>639.39</v>
      </c>
      <c r="T27" s="8">
        <v>577.41999999999996</v>
      </c>
      <c r="U27" s="8">
        <v>613.84</v>
      </c>
      <c r="V27" s="8">
        <v>593.41999999999996</v>
      </c>
      <c r="W27" s="8">
        <v>782.13</v>
      </c>
      <c r="X27" s="8">
        <v>553.01</v>
      </c>
      <c r="Y27" s="8">
        <v>630.05999999999995</v>
      </c>
      <c r="Z27" s="8">
        <v>776.48</v>
      </c>
      <c r="AA27" s="8">
        <v>0</v>
      </c>
      <c r="AB27" s="8">
        <v>455.62</v>
      </c>
      <c r="AC27" s="8">
        <v>265.94</v>
      </c>
      <c r="AD27" s="8">
        <v>436.33</v>
      </c>
      <c r="AE27" s="8">
        <v>743.44</v>
      </c>
      <c r="AF27" s="8">
        <v>717.44</v>
      </c>
      <c r="AG27" s="8">
        <v>190.6</v>
      </c>
      <c r="AH27" s="8">
        <v>188.44</v>
      </c>
      <c r="AI27" s="8">
        <v>678.18</v>
      </c>
      <c r="AJ27" s="8">
        <v>411.69</v>
      </c>
    </row>
    <row r="28" spans="1:36" ht="14.25" customHeight="1" x14ac:dyDescent="0.35">
      <c r="A28" s="6" t="s">
        <v>27</v>
      </c>
      <c r="B28" s="8">
        <v>321.58999999999997</v>
      </c>
      <c r="C28" s="8">
        <v>312.39</v>
      </c>
      <c r="D28" s="8">
        <v>312.95</v>
      </c>
      <c r="E28" s="8">
        <v>426.94</v>
      </c>
      <c r="F28" s="8">
        <v>308.88</v>
      </c>
      <c r="G28" s="8">
        <v>384.55</v>
      </c>
      <c r="H28" s="8">
        <v>402.86</v>
      </c>
      <c r="I28" s="8">
        <v>361.86</v>
      </c>
      <c r="J28" s="8">
        <v>420.17</v>
      </c>
      <c r="K28" s="8">
        <v>638.33000000000004</v>
      </c>
      <c r="L28" s="8">
        <v>568.41</v>
      </c>
      <c r="M28" s="8">
        <v>237.13</v>
      </c>
      <c r="N28" s="8">
        <v>314.72000000000003</v>
      </c>
      <c r="O28" s="8">
        <v>425.19</v>
      </c>
      <c r="P28" s="8">
        <v>662.32</v>
      </c>
      <c r="Q28" s="8">
        <v>734.96</v>
      </c>
      <c r="R28" s="8">
        <v>398.82</v>
      </c>
      <c r="S28" s="8">
        <v>356.92</v>
      </c>
      <c r="T28" s="8">
        <v>303.01</v>
      </c>
      <c r="U28" s="8">
        <v>379.27</v>
      </c>
      <c r="V28" s="8">
        <v>267.49</v>
      </c>
      <c r="W28" s="8">
        <v>624.23</v>
      </c>
      <c r="X28" s="8">
        <v>272.63</v>
      </c>
      <c r="Y28" s="8">
        <v>386.76</v>
      </c>
      <c r="Z28" s="8">
        <v>563.9</v>
      </c>
      <c r="AA28" s="8">
        <v>455.62</v>
      </c>
      <c r="AB28" s="8">
        <v>0</v>
      </c>
      <c r="AC28" s="8">
        <v>198.58</v>
      </c>
      <c r="AD28" s="8">
        <v>293.97000000000003</v>
      </c>
      <c r="AE28" s="8">
        <v>635.02</v>
      </c>
      <c r="AF28" s="8">
        <v>289.85000000000002</v>
      </c>
      <c r="AG28" s="8">
        <v>481.15</v>
      </c>
      <c r="AH28" s="8">
        <v>270.68</v>
      </c>
      <c r="AI28" s="8">
        <v>614.25</v>
      </c>
      <c r="AJ28" s="8">
        <v>286.41000000000003</v>
      </c>
    </row>
    <row r="29" spans="1:36" ht="14.25" customHeight="1" x14ac:dyDescent="0.35">
      <c r="A29" s="6" t="s">
        <v>28</v>
      </c>
      <c r="B29" s="8">
        <v>408.97</v>
      </c>
      <c r="C29" s="8">
        <v>418.63</v>
      </c>
      <c r="D29" s="8">
        <v>433.36</v>
      </c>
      <c r="E29" s="8">
        <v>539.59</v>
      </c>
      <c r="F29" s="8">
        <v>442.25</v>
      </c>
      <c r="G29" s="8">
        <v>263.62</v>
      </c>
      <c r="H29" s="8">
        <v>300.5</v>
      </c>
      <c r="I29" s="8">
        <v>207.14</v>
      </c>
      <c r="J29" s="8">
        <v>266.93</v>
      </c>
      <c r="K29" s="8">
        <v>550.38</v>
      </c>
      <c r="L29" s="8">
        <v>446.85</v>
      </c>
      <c r="M29" s="8">
        <v>333.5</v>
      </c>
      <c r="N29" s="8">
        <v>325.82</v>
      </c>
      <c r="O29" s="8">
        <v>441.02</v>
      </c>
      <c r="P29" s="8">
        <v>630.34</v>
      </c>
      <c r="Q29" s="8">
        <v>706.82</v>
      </c>
      <c r="R29" s="8">
        <v>439.14</v>
      </c>
      <c r="S29" s="8">
        <v>408.77</v>
      </c>
      <c r="T29" s="8">
        <v>344.67</v>
      </c>
      <c r="U29" s="8">
        <v>400.29</v>
      </c>
      <c r="V29" s="8">
        <v>345.19</v>
      </c>
      <c r="W29" s="8">
        <v>616.04999999999995</v>
      </c>
      <c r="X29" s="8">
        <v>315.64999999999998</v>
      </c>
      <c r="Y29" s="8">
        <v>414.2</v>
      </c>
      <c r="Z29" s="8">
        <v>583.49</v>
      </c>
      <c r="AA29" s="8">
        <v>265.94</v>
      </c>
      <c r="AB29" s="8">
        <v>198.58</v>
      </c>
      <c r="AC29" s="8">
        <v>0</v>
      </c>
      <c r="AD29" s="8">
        <v>325.83999999999997</v>
      </c>
      <c r="AE29" s="8">
        <v>601.30999999999995</v>
      </c>
      <c r="AF29" s="8">
        <v>452</v>
      </c>
      <c r="AG29" s="8">
        <v>341.99</v>
      </c>
      <c r="AH29" s="8">
        <v>77.650000000000006</v>
      </c>
      <c r="AI29" s="8">
        <v>556.94000000000005</v>
      </c>
      <c r="AJ29" s="8">
        <v>218.42</v>
      </c>
    </row>
    <row r="30" spans="1:36" ht="14.25" customHeight="1" x14ac:dyDescent="0.35">
      <c r="A30" s="6" t="s">
        <v>29</v>
      </c>
      <c r="B30" s="8">
        <v>615.52</v>
      </c>
      <c r="C30" s="8">
        <v>604.78</v>
      </c>
      <c r="D30" s="8">
        <v>602.23</v>
      </c>
      <c r="E30" s="8">
        <v>715.33</v>
      </c>
      <c r="F30" s="8">
        <v>593.69000000000005</v>
      </c>
      <c r="G30" s="8">
        <v>251.09</v>
      </c>
      <c r="H30" s="8">
        <v>623.27</v>
      </c>
      <c r="I30" s="8">
        <v>531.41</v>
      </c>
      <c r="J30" s="8">
        <v>589.96</v>
      </c>
      <c r="K30" s="8">
        <v>873.19</v>
      </c>
      <c r="L30" s="8">
        <v>772.66</v>
      </c>
      <c r="M30" s="8">
        <v>531.1</v>
      </c>
      <c r="N30" s="8">
        <v>594.65</v>
      </c>
      <c r="O30" s="8">
        <v>710.17</v>
      </c>
      <c r="P30" s="8">
        <v>932.89</v>
      </c>
      <c r="Q30" s="8">
        <v>1008.12</v>
      </c>
      <c r="R30" s="8">
        <v>689.25</v>
      </c>
      <c r="S30" s="8">
        <v>648.64</v>
      </c>
      <c r="T30" s="8">
        <v>591.44000000000005</v>
      </c>
      <c r="U30" s="8">
        <v>664.64</v>
      </c>
      <c r="V30" s="8">
        <v>560.87</v>
      </c>
      <c r="W30" s="8">
        <v>904.55</v>
      </c>
      <c r="X30" s="8">
        <v>560.25</v>
      </c>
      <c r="Y30" s="8">
        <v>674.06</v>
      </c>
      <c r="Z30" s="8">
        <v>852.1</v>
      </c>
      <c r="AA30" s="8">
        <v>436.33</v>
      </c>
      <c r="AB30" s="8">
        <v>293.97000000000003</v>
      </c>
      <c r="AC30" s="8">
        <v>325.83999999999997</v>
      </c>
      <c r="AD30" s="8">
        <v>0</v>
      </c>
      <c r="AE30" s="8">
        <v>904.41</v>
      </c>
      <c r="AF30" s="8">
        <v>556.88</v>
      </c>
      <c r="AG30" s="8">
        <v>338.05</v>
      </c>
      <c r="AH30" s="8">
        <v>337.02</v>
      </c>
      <c r="AI30" s="8">
        <v>870.29</v>
      </c>
      <c r="AJ30" s="8">
        <v>525.76</v>
      </c>
    </row>
    <row r="31" spans="1:36" ht="14.25" customHeight="1" x14ac:dyDescent="0.35">
      <c r="A31" s="6" t="s">
        <v>30</v>
      </c>
      <c r="B31" s="8">
        <v>389.9</v>
      </c>
      <c r="C31" s="8">
        <v>427.31</v>
      </c>
      <c r="D31" s="8">
        <v>457.02</v>
      </c>
      <c r="E31" s="8">
        <v>433.86</v>
      </c>
      <c r="F31" s="8">
        <v>488.01</v>
      </c>
      <c r="G31" s="8">
        <v>850.94</v>
      </c>
      <c r="H31" s="8">
        <v>321.32</v>
      </c>
      <c r="I31" s="8">
        <v>449.45</v>
      </c>
      <c r="J31" s="8">
        <v>423.38</v>
      </c>
      <c r="K31" s="8">
        <v>175.31</v>
      </c>
      <c r="L31" s="8">
        <v>292.04000000000002</v>
      </c>
      <c r="M31" s="8">
        <v>440.63</v>
      </c>
      <c r="N31" s="8">
        <v>321.64</v>
      </c>
      <c r="O31" s="8">
        <v>228.49</v>
      </c>
      <c r="P31" s="8">
        <v>29.05</v>
      </c>
      <c r="Q31" s="8">
        <v>105.56</v>
      </c>
      <c r="R31" s="8">
        <v>277.72000000000003</v>
      </c>
      <c r="S31" s="8">
        <v>318.8</v>
      </c>
      <c r="T31" s="8">
        <v>346.11</v>
      </c>
      <c r="U31" s="8">
        <v>269.52</v>
      </c>
      <c r="V31" s="8">
        <v>403</v>
      </c>
      <c r="W31" s="8">
        <v>79.94</v>
      </c>
      <c r="X31" s="8">
        <v>371.45</v>
      </c>
      <c r="Y31" s="8">
        <v>269.73</v>
      </c>
      <c r="Z31" s="8">
        <v>165.96</v>
      </c>
      <c r="AA31" s="8">
        <v>743.44</v>
      </c>
      <c r="AB31" s="8">
        <v>635.02</v>
      </c>
      <c r="AC31" s="8">
        <v>601.30999999999995</v>
      </c>
      <c r="AD31" s="8">
        <v>904.41</v>
      </c>
      <c r="AE31" s="8">
        <v>0</v>
      </c>
      <c r="AF31" s="8">
        <v>567.45000000000005</v>
      </c>
      <c r="AG31" s="8">
        <v>904.87</v>
      </c>
      <c r="AH31" s="8">
        <v>638.08000000000004</v>
      </c>
      <c r="AI31" s="8">
        <v>80.36</v>
      </c>
      <c r="AJ31" s="8">
        <v>383.7</v>
      </c>
    </row>
    <row r="32" spans="1:36" ht="14.25" customHeight="1" x14ac:dyDescent="0.35">
      <c r="A32" s="6" t="s">
        <v>31</v>
      </c>
      <c r="B32" s="8">
        <v>179.26</v>
      </c>
      <c r="C32" s="8">
        <v>140.57</v>
      </c>
      <c r="D32" s="8">
        <v>110.51</v>
      </c>
      <c r="E32" s="8">
        <v>185.33</v>
      </c>
      <c r="F32" s="8">
        <v>80.05</v>
      </c>
      <c r="G32" s="8">
        <v>673.54</v>
      </c>
      <c r="H32" s="8">
        <v>491.06</v>
      </c>
      <c r="I32" s="8">
        <v>525.91999999999996</v>
      </c>
      <c r="J32" s="8">
        <v>567.88</v>
      </c>
      <c r="K32" s="8">
        <v>649.58000000000004</v>
      </c>
      <c r="L32" s="8">
        <v>641.37</v>
      </c>
      <c r="M32" s="8">
        <v>166.67</v>
      </c>
      <c r="N32" s="8">
        <v>301.16000000000003</v>
      </c>
      <c r="O32" s="8">
        <v>343</v>
      </c>
      <c r="P32" s="8">
        <v>587.4</v>
      </c>
      <c r="Q32" s="8">
        <v>643.53</v>
      </c>
      <c r="R32" s="8">
        <v>290.38</v>
      </c>
      <c r="S32" s="8">
        <v>252.57</v>
      </c>
      <c r="T32" s="8">
        <v>253.35</v>
      </c>
      <c r="U32" s="8">
        <v>311.04000000000002</v>
      </c>
      <c r="V32" s="8">
        <v>192.66</v>
      </c>
      <c r="W32" s="8">
        <v>521.39</v>
      </c>
      <c r="X32" s="8">
        <v>247.49</v>
      </c>
      <c r="Y32" s="8">
        <v>304.70999999999998</v>
      </c>
      <c r="Z32" s="8">
        <v>432.64</v>
      </c>
      <c r="AA32" s="8">
        <v>717.44</v>
      </c>
      <c r="AB32" s="8">
        <v>289.85000000000002</v>
      </c>
      <c r="AC32" s="8">
        <v>452</v>
      </c>
      <c r="AD32" s="8">
        <v>556.88</v>
      </c>
      <c r="AE32" s="8">
        <v>567.45000000000005</v>
      </c>
      <c r="AF32" s="8">
        <v>0</v>
      </c>
      <c r="AG32" s="8">
        <v>768.74</v>
      </c>
      <c r="AH32" s="8">
        <v>529.63</v>
      </c>
      <c r="AI32" s="8">
        <v>584.99</v>
      </c>
      <c r="AJ32" s="8">
        <v>389.41</v>
      </c>
    </row>
    <row r="33" spans="1:36" ht="14.25" customHeight="1" x14ac:dyDescent="0.35">
      <c r="A33" s="6" t="s">
        <v>32</v>
      </c>
      <c r="B33" s="8">
        <v>749.98</v>
      </c>
      <c r="C33" s="8">
        <v>757.04</v>
      </c>
      <c r="D33" s="8">
        <v>768.72</v>
      </c>
      <c r="E33" s="8">
        <v>878.27</v>
      </c>
      <c r="F33" s="8">
        <v>773.6</v>
      </c>
      <c r="G33" s="8">
        <v>99.53</v>
      </c>
      <c r="H33" s="8">
        <v>583.85</v>
      </c>
      <c r="I33" s="8">
        <v>456.89</v>
      </c>
      <c r="J33" s="8">
        <v>494.55</v>
      </c>
      <c r="K33" s="8">
        <v>810.5</v>
      </c>
      <c r="L33" s="8">
        <v>678.75</v>
      </c>
      <c r="M33" s="8">
        <v>671.86</v>
      </c>
      <c r="N33" s="8">
        <v>663.82</v>
      </c>
      <c r="O33" s="8">
        <v>775.56</v>
      </c>
      <c r="P33" s="8">
        <v>933.49</v>
      </c>
      <c r="Q33" s="8">
        <v>1008.91</v>
      </c>
      <c r="R33" s="8">
        <v>778.87</v>
      </c>
      <c r="S33" s="8">
        <v>750.21</v>
      </c>
      <c r="T33" s="8">
        <v>686.11</v>
      </c>
      <c r="U33" s="8">
        <v>737.5</v>
      </c>
      <c r="V33" s="8">
        <v>686.29</v>
      </c>
      <c r="W33" s="8">
        <v>934.19</v>
      </c>
      <c r="X33" s="8">
        <v>657.48</v>
      </c>
      <c r="Y33" s="8">
        <v>752.3</v>
      </c>
      <c r="Z33" s="8">
        <v>914.71</v>
      </c>
      <c r="AA33" s="8">
        <v>190.6</v>
      </c>
      <c r="AB33" s="8">
        <v>481.15</v>
      </c>
      <c r="AC33" s="8">
        <v>341.99</v>
      </c>
      <c r="AD33" s="8">
        <v>338.05</v>
      </c>
      <c r="AE33" s="8">
        <v>904.87</v>
      </c>
      <c r="AF33" s="8">
        <v>768.74</v>
      </c>
      <c r="AG33" s="8">
        <v>0</v>
      </c>
      <c r="AH33" s="8">
        <v>278.14</v>
      </c>
      <c r="AI33" s="8">
        <v>845.81</v>
      </c>
      <c r="AJ33" s="8">
        <v>541.98</v>
      </c>
    </row>
    <row r="34" spans="1:36" ht="14.25" customHeight="1" x14ac:dyDescent="0.35">
      <c r="A34" s="6" t="s">
        <v>33</v>
      </c>
      <c r="B34" s="8">
        <v>480.5</v>
      </c>
      <c r="C34" s="8">
        <v>492.46</v>
      </c>
      <c r="D34" s="8">
        <v>508.55</v>
      </c>
      <c r="E34" s="8">
        <v>612.89</v>
      </c>
      <c r="F34" s="8">
        <v>518.51</v>
      </c>
      <c r="G34" s="8">
        <v>212.95</v>
      </c>
      <c r="H34" s="8">
        <v>322.88</v>
      </c>
      <c r="I34" s="8">
        <v>207.42</v>
      </c>
      <c r="J34" s="8">
        <v>260.97000000000003</v>
      </c>
      <c r="K34" s="8">
        <v>566.77</v>
      </c>
      <c r="L34" s="8">
        <v>450.01</v>
      </c>
      <c r="M34" s="8">
        <v>407.73</v>
      </c>
      <c r="N34" s="8">
        <v>386.01</v>
      </c>
      <c r="O34" s="8">
        <v>497.46</v>
      </c>
      <c r="P34" s="8">
        <v>667.06</v>
      </c>
      <c r="Q34" s="8">
        <v>743.38</v>
      </c>
      <c r="R34" s="8">
        <v>501.43</v>
      </c>
      <c r="S34" s="8">
        <v>474.32</v>
      </c>
      <c r="T34" s="8">
        <v>410.45</v>
      </c>
      <c r="U34" s="8">
        <v>459.45</v>
      </c>
      <c r="V34" s="8">
        <v>416.86</v>
      </c>
      <c r="W34" s="8">
        <v>660.98</v>
      </c>
      <c r="X34" s="8">
        <v>382.93</v>
      </c>
      <c r="Y34" s="8">
        <v>474.38</v>
      </c>
      <c r="Z34" s="8">
        <v>637.21</v>
      </c>
      <c r="AA34" s="8">
        <v>188.44</v>
      </c>
      <c r="AB34" s="8">
        <v>270.68</v>
      </c>
      <c r="AC34" s="8">
        <v>77.650000000000006</v>
      </c>
      <c r="AD34" s="8">
        <v>337.02</v>
      </c>
      <c r="AE34" s="8">
        <v>638.08000000000004</v>
      </c>
      <c r="AF34" s="8">
        <v>529.63</v>
      </c>
      <c r="AG34" s="8">
        <v>278.14</v>
      </c>
      <c r="AH34" s="8">
        <v>0</v>
      </c>
      <c r="AI34" s="8">
        <v>586.11</v>
      </c>
      <c r="AJ34" s="8">
        <v>264.91000000000003</v>
      </c>
    </row>
    <row r="35" spans="1:36" ht="14.25" customHeight="1" x14ac:dyDescent="0.35">
      <c r="A35" s="6" t="s">
        <v>34</v>
      </c>
      <c r="B35" s="8">
        <v>405.79</v>
      </c>
      <c r="C35" s="8">
        <v>444.85</v>
      </c>
      <c r="D35" s="8">
        <v>476.46</v>
      </c>
      <c r="E35" s="8">
        <v>471.78</v>
      </c>
      <c r="F35" s="8">
        <v>507.85</v>
      </c>
      <c r="G35" s="8">
        <v>797.68</v>
      </c>
      <c r="H35" s="8">
        <v>263.73</v>
      </c>
      <c r="I35" s="8">
        <v>388.93</v>
      </c>
      <c r="J35" s="8">
        <v>356.45</v>
      </c>
      <c r="K35" s="8">
        <v>97.98</v>
      </c>
      <c r="L35" s="8">
        <v>212.75</v>
      </c>
      <c r="M35" s="8">
        <v>442.7</v>
      </c>
      <c r="N35" s="8">
        <v>310.93</v>
      </c>
      <c r="O35" s="8">
        <v>242.63</v>
      </c>
      <c r="P35" s="8">
        <v>101.19</v>
      </c>
      <c r="Q35" s="8">
        <v>168</v>
      </c>
      <c r="R35" s="8">
        <v>296.89</v>
      </c>
      <c r="S35" s="8">
        <v>332.43</v>
      </c>
      <c r="T35" s="8">
        <v>345.2</v>
      </c>
      <c r="U35" s="8">
        <v>275.20999999999998</v>
      </c>
      <c r="V35" s="8">
        <v>406.26</v>
      </c>
      <c r="W35" s="8">
        <v>154.9</v>
      </c>
      <c r="X35" s="8">
        <v>365.76</v>
      </c>
      <c r="Y35" s="8">
        <v>280.32</v>
      </c>
      <c r="Z35" s="8">
        <v>225.48</v>
      </c>
      <c r="AA35" s="8">
        <v>678.18</v>
      </c>
      <c r="AB35" s="8">
        <v>614.25</v>
      </c>
      <c r="AC35" s="8">
        <v>556.94000000000005</v>
      </c>
      <c r="AD35" s="8">
        <v>870.29</v>
      </c>
      <c r="AE35" s="8">
        <v>80.36</v>
      </c>
      <c r="AF35" s="8">
        <v>584.99</v>
      </c>
      <c r="AG35" s="8">
        <v>845.81</v>
      </c>
      <c r="AH35" s="8">
        <v>586.11</v>
      </c>
      <c r="AI35" s="8">
        <v>0</v>
      </c>
      <c r="AJ35" s="8">
        <v>344.58</v>
      </c>
    </row>
    <row r="36" spans="1:36" ht="14.25" customHeight="1" x14ac:dyDescent="0.35">
      <c r="A36" s="6" t="s">
        <v>35</v>
      </c>
      <c r="B36" s="8">
        <v>265.67</v>
      </c>
      <c r="C36" s="8">
        <v>292.8</v>
      </c>
      <c r="D36" s="8">
        <v>319.93</v>
      </c>
      <c r="E36" s="8">
        <v>399.18</v>
      </c>
      <c r="F36" s="8">
        <v>342.3</v>
      </c>
      <c r="G36" s="8">
        <v>475.83</v>
      </c>
      <c r="H36" s="8">
        <v>118.52</v>
      </c>
      <c r="I36" s="8">
        <v>144.46</v>
      </c>
      <c r="J36" s="8">
        <v>178.86</v>
      </c>
      <c r="K36" s="8">
        <v>354.59</v>
      </c>
      <c r="L36" s="8">
        <v>284.87</v>
      </c>
      <c r="M36" s="8">
        <v>225.39</v>
      </c>
      <c r="N36" s="8">
        <v>135.15</v>
      </c>
      <c r="O36" s="8">
        <v>235.58</v>
      </c>
      <c r="P36" s="8">
        <v>412.67</v>
      </c>
      <c r="Q36" s="8">
        <v>489.03</v>
      </c>
      <c r="R36" s="8">
        <v>248.95</v>
      </c>
      <c r="S36" s="8">
        <v>232.4</v>
      </c>
      <c r="T36" s="8">
        <v>175.38</v>
      </c>
      <c r="U36" s="8">
        <v>202.15</v>
      </c>
      <c r="V36" s="8">
        <v>211.9</v>
      </c>
      <c r="W36" s="8">
        <v>398.25</v>
      </c>
      <c r="X36" s="8">
        <v>158.94999999999999</v>
      </c>
      <c r="Y36" s="8">
        <v>218.43</v>
      </c>
      <c r="Z36" s="8">
        <v>372.74</v>
      </c>
      <c r="AA36" s="8">
        <v>411.69</v>
      </c>
      <c r="AB36" s="8">
        <v>286.41000000000003</v>
      </c>
      <c r="AC36" s="8">
        <v>218.42</v>
      </c>
      <c r="AD36" s="8">
        <v>525.76</v>
      </c>
      <c r="AE36" s="8">
        <v>383.7</v>
      </c>
      <c r="AF36" s="8">
        <v>389.41</v>
      </c>
      <c r="AG36" s="8">
        <v>541.98</v>
      </c>
      <c r="AH36" s="8">
        <v>264.91000000000003</v>
      </c>
      <c r="AI36" s="8">
        <v>344.58</v>
      </c>
      <c r="AJ36" s="8">
        <v>0</v>
      </c>
    </row>
    <row r="37" spans="1:36" ht="14.25" customHeight="1" x14ac:dyDescent="0.35"/>
    <row r="38" spans="1:36" ht="14.25" customHeight="1" x14ac:dyDescent="0.35">
      <c r="C38" s="8" t="s">
        <v>36</v>
      </c>
    </row>
    <row r="39" spans="1:36" ht="14.25" customHeight="1" x14ac:dyDescent="0.35"/>
    <row r="40" spans="1:36" ht="14.25" customHeight="1" x14ac:dyDescent="0.35">
      <c r="A40" s="9"/>
      <c r="C40" s="10" t="s">
        <v>37</v>
      </c>
    </row>
    <row r="41" spans="1:36" ht="14.25" customHeight="1" x14ac:dyDescent="0.35"/>
    <row r="42" spans="1:36" ht="14.25" customHeight="1" x14ac:dyDescent="0.35"/>
    <row r="43" spans="1:36" ht="14.25" customHeight="1" x14ac:dyDescent="0.35"/>
    <row r="44" spans="1:36" ht="14.25" customHeight="1" x14ac:dyDescent="0.35"/>
    <row r="45" spans="1:36" ht="14.25" customHeight="1" x14ac:dyDescent="0.35"/>
    <row r="46" spans="1:36" ht="14.25" customHeight="1" x14ac:dyDescent="0.35"/>
    <row r="47" spans="1:36" ht="14.25" customHeight="1" x14ac:dyDescent="0.35"/>
    <row r="48" spans="1:36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conditionalFormatting sqref="B2:AJ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tabSelected="1" workbookViewId="0">
      <selection activeCell="D35" sqref="D35"/>
    </sheetView>
  </sheetViews>
  <sheetFormatPr defaultColWidth="14.453125" defaultRowHeight="15" customHeight="1" x14ac:dyDescent="0.35"/>
  <cols>
    <col min="1" max="1" width="31.26953125" customWidth="1"/>
    <col min="2" max="2" width="17.08984375" customWidth="1"/>
    <col min="3" max="3" width="26" customWidth="1"/>
    <col min="4" max="4" width="56.54296875" customWidth="1"/>
    <col min="5" max="5" width="60.453125" customWidth="1"/>
    <col min="6" max="7" width="10.7265625" customWidth="1"/>
    <col min="8" max="8" width="15.81640625" customWidth="1"/>
    <col min="9" max="26" width="8.7265625" customWidth="1"/>
  </cols>
  <sheetData>
    <row r="1" spans="1:8" ht="14.25" customHeight="1" x14ac:dyDescent="0.35">
      <c r="A1" s="13" t="s">
        <v>38</v>
      </c>
      <c r="B1" s="14"/>
      <c r="D1" s="11" t="s">
        <v>39</v>
      </c>
      <c r="E1" s="11" t="s">
        <v>40</v>
      </c>
      <c r="F1" s="8" t="s">
        <v>41</v>
      </c>
      <c r="G1" s="8" t="s">
        <v>42</v>
      </c>
      <c r="H1" s="8" t="s">
        <v>43</v>
      </c>
    </row>
    <row r="2" spans="1:8" ht="14.25" customHeight="1" x14ac:dyDescent="0.35">
      <c r="A2" s="8" t="s">
        <v>1</v>
      </c>
      <c r="B2" s="8" t="s">
        <v>44</v>
      </c>
      <c r="C2" s="8" t="s">
        <v>45</v>
      </c>
      <c r="D2" s="11" t="s">
        <v>46</v>
      </c>
      <c r="E2" s="11" t="s">
        <v>47</v>
      </c>
      <c r="F2" s="11" t="s">
        <v>48</v>
      </c>
      <c r="G2" s="11" t="s">
        <v>48</v>
      </c>
      <c r="H2" s="8">
        <v>6101</v>
      </c>
    </row>
    <row r="3" spans="1:8" ht="14.25" customHeight="1" x14ac:dyDescent="0.35">
      <c r="A3" s="8" t="s">
        <v>2</v>
      </c>
      <c r="B3" s="8" t="s">
        <v>44</v>
      </c>
      <c r="C3" s="8" t="s">
        <v>49</v>
      </c>
      <c r="D3" s="11" t="s">
        <v>50</v>
      </c>
      <c r="E3" s="11" t="s">
        <v>51</v>
      </c>
      <c r="F3" s="8" t="s">
        <v>52</v>
      </c>
      <c r="G3" s="8" t="s">
        <v>52</v>
      </c>
      <c r="H3" s="8">
        <v>367</v>
      </c>
    </row>
    <row r="4" spans="1:8" ht="14.25" customHeight="1" x14ac:dyDescent="0.35">
      <c r="A4" s="8" t="s">
        <v>3</v>
      </c>
      <c r="B4" s="8" t="s">
        <v>44</v>
      </c>
      <c r="C4" s="8" t="s">
        <v>53</v>
      </c>
      <c r="D4" s="11" t="s">
        <v>54</v>
      </c>
      <c r="E4" s="11" t="s">
        <v>55</v>
      </c>
      <c r="F4" s="8" t="s">
        <v>56</v>
      </c>
      <c r="G4" s="8" t="s">
        <v>52</v>
      </c>
      <c r="H4" s="8">
        <v>886</v>
      </c>
    </row>
    <row r="5" spans="1:8" ht="14.25" customHeight="1" x14ac:dyDescent="0.35">
      <c r="A5" s="8" t="s">
        <v>4</v>
      </c>
      <c r="B5" s="8" t="s">
        <v>57</v>
      </c>
      <c r="C5" s="8" t="s">
        <v>58</v>
      </c>
      <c r="D5" s="11" t="s">
        <v>59</v>
      </c>
      <c r="E5" s="11" t="s">
        <v>60</v>
      </c>
      <c r="F5" s="8" t="s">
        <v>52</v>
      </c>
      <c r="G5" s="8" t="s">
        <v>52</v>
      </c>
      <c r="H5" s="8">
        <v>212</v>
      </c>
    </row>
    <row r="6" spans="1:8" ht="14.25" customHeight="1" x14ac:dyDescent="0.35">
      <c r="A6" s="8" t="s">
        <v>5</v>
      </c>
      <c r="B6" s="8" t="s">
        <v>61</v>
      </c>
      <c r="C6" s="8" t="s">
        <v>62</v>
      </c>
      <c r="D6" s="11" t="s">
        <v>63</v>
      </c>
      <c r="E6" s="11" t="s">
        <v>64</v>
      </c>
      <c r="F6" s="8" t="s">
        <v>52</v>
      </c>
      <c r="G6" s="8" t="s">
        <v>52</v>
      </c>
      <c r="H6" s="8">
        <v>464</v>
      </c>
    </row>
    <row r="7" spans="1:8" ht="14.25" customHeight="1" x14ac:dyDescent="0.35">
      <c r="A7" s="13" t="s">
        <v>65</v>
      </c>
      <c r="B7" s="14"/>
      <c r="D7" s="11"/>
      <c r="E7" s="11"/>
    </row>
    <row r="8" spans="1:8" ht="14.25" customHeight="1" x14ac:dyDescent="0.35">
      <c r="A8" s="8" t="s">
        <v>6</v>
      </c>
      <c r="B8" s="8" t="s">
        <v>44</v>
      </c>
      <c r="C8" s="8" t="s">
        <v>66</v>
      </c>
      <c r="D8" s="11" t="s">
        <v>67</v>
      </c>
      <c r="E8" s="11" t="s">
        <v>68</v>
      </c>
      <c r="F8" s="8" t="s">
        <v>69</v>
      </c>
      <c r="G8" s="8" t="s">
        <v>52</v>
      </c>
      <c r="H8" s="8">
        <v>58</v>
      </c>
    </row>
    <row r="9" spans="1:8" ht="14.25" customHeight="1" x14ac:dyDescent="0.35">
      <c r="A9" s="13" t="s">
        <v>70</v>
      </c>
      <c r="B9" s="14"/>
      <c r="D9" s="11"/>
      <c r="E9" s="11"/>
    </row>
    <row r="10" spans="1:8" ht="14.25" customHeight="1" x14ac:dyDescent="0.35">
      <c r="A10" s="8" t="s">
        <v>7</v>
      </c>
      <c r="B10" s="8" t="s">
        <v>44</v>
      </c>
      <c r="C10" s="8" t="s">
        <v>71</v>
      </c>
      <c r="D10" s="11" t="s">
        <v>72</v>
      </c>
      <c r="E10" s="11" t="s">
        <v>73</v>
      </c>
      <c r="G10" s="8" t="s">
        <v>48</v>
      </c>
      <c r="H10" s="8">
        <v>470</v>
      </c>
    </row>
    <row r="11" spans="1:8" ht="14.25" customHeight="1" x14ac:dyDescent="0.35">
      <c r="A11" s="8" t="s">
        <v>8</v>
      </c>
      <c r="B11" s="8" t="s">
        <v>44</v>
      </c>
      <c r="C11" s="8" t="s">
        <v>74</v>
      </c>
      <c r="D11" s="11" t="s">
        <v>75</v>
      </c>
      <c r="E11" s="11" t="s">
        <v>76</v>
      </c>
      <c r="F11" s="8" t="s">
        <v>77</v>
      </c>
      <c r="G11" s="8" t="s">
        <v>48</v>
      </c>
      <c r="H11" s="8">
        <v>500</v>
      </c>
    </row>
    <row r="12" spans="1:8" ht="14.25" customHeight="1" x14ac:dyDescent="0.35">
      <c r="A12" s="8" t="s">
        <v>9</v>
      </c>
      <c r="B12" s="8" t="s">
        <v>44</v>
      </c>
      <c r="C12" s="8" t="s">
        <v>78</v>
      </c>
      <c r="D12" s="11" t="s">
        <v>79</v>
      </c>
      <c r="E12" s="11" t="s">
        <v>80</v>
      </c>
      <c r="F12" s="8" t="s">
        <v>77</v>
      </c>
      <c r="G12" s="8" t="s">
        <v>48</v>
      </c>
      <c r="H12" s="8">
        <v>200</v>
      </c>
    </row>
    <row r="13" spans="1:8" ht="14.25" customHeight="1" x14ac:dyDescent="0.35">
      <c r="A13" s="8" t="s">
        <v>81</v>
      </c>
      <c r="B13" s="8" t="s">
        <v>44</v>
      </c>
      <c r="C13" s="8" t="s">
        <v>82</v>
      </c>
      <c r="D13" s="11" t="s">
        <v>83</v>
      </c>
      <c r="E13" s="11" t="s">
        <v>84</v>
      </c>
      <c r="F13" s="8" t="s">
        <v>52</v>
      </c>
      <c r="G13" s="8" t="s">
        <v>48</v>
      </c>
      <c r="H13" s="8">
        <v>962</v>
      </c>
    </row>
    <row r="14" spans="1:8" ht="14.25" customHeight="1" x14ac:dyDescent="0.35">
      <c r="A14" s="8" t="s">
        <v>11</v>
      </c>
      <c r="B14" s="8" t="s">
        <v>44</v>
      </c>
      <c r="C14" s="8" t="s">
        <v>85</v>
      </c>
      <c r="D14" s="11" t="s">
        <v>86</v>
      </c>
      <c r="E14" s="11" t="s">
        <v>87</v>
      </c>
      <c r="F14" s="8" t="s">
        <v>52</v>
      </c>
      <c r="G14" s="8" t="s">
        <v>48</v>
      </c>
    </row>
    <row r="15" spans="1:8" ht="14.25" customHeight="1" x14ac:dyDescent="0.35">
      <c r="A15" s="13" t="s">
        <v>88</v>
      </c>
      <c r="B15" s="14"/>
      <c r="D15" s="11"/>
      <c r="E15" s="11"/>
    </row>
    <row r="16" spans="1:8" ht="14.25" customHeight="1" x14ac:dyDescent="0.35">
      <c r="A16" s="8" t="s">
        <v>12</v>
      </c>
      <c r="B16" s="8" t="s">
        <v>89</v>
      </c>
      <c r="C16" s="8" t="s">
        <v>90</v>
      </c>
      <c r="D16" s="11" t="s">
        <v>91</v>
      </c>
      <c r="E16" s="11" t="s">
        <v>92</v>
      </c>
      <c r="F16" s="8" t="s">
        <v>93</v>
      </c>
      <c r="G16" s="8" t="s">
        <v>94</v>
      </c>
      <c r="H16" s="8">
        <v>450</v>
      </c>
    </row>
    <row r="17" spans="1:8" ht="14.25" customHeight="1" x14ac:dyDescent="0.35">
      <c r="A17" s="8" t="s">
        <v>13</v>
      </c>
      <c r="B17" s="12" t="s">
        <v>44</v>
      </c>
      <c r="C17" s="8" t="s">
        <v>95</v>
      </c>
      <c r="D17" s="11" t="s">
        <v>96</v>
      </c>
      <c r="E17" s="11" t="s">
        <v>97</v>
      </c>
      <c r="F17" s="8" t="s">
        <v>52</v>
      </c>
      <c r="G17" s="8" t="s">
        <v>94</v>
      </c>
      <c r="H17" s="8">
        <v>1232</v>
      </c>
    </row>
    <row r="18" spans="1:8" ht="14.25" customHeight="1" x14ac:dyDescent="0.35">
      <c r="A18" s="8" t="s">
        <v>14</v>
      </c>
      <c r="B18" s="8" t="s">
        <v>98</v>
      </c>
      <c r="C18" s="8" t="s">
        <v>99</v>
      </c>
      <c r="D18" s="11"/>
      <c r="E18" s="11" t="s">
        <v>100</v>
      </c>
    </row>
    <row r="19" spans="1:8" ht="14.25" customHeight="1" x14ac:dyDescent="0.35">
      <c r="A19" s="8" t="s">
        <v>15</v>
      </c>
      <c r="B19" s="12" t="s">
        <v>44</v>
      </c>
      <c r="C19" s="8" t="s">
        <v>101</v>
      </c>
      <c r="D19" s="11" t="s">
        <v>102</v>
      </c>
      <c r="E19" s="11" t="s">
        <v>103</v>
      </c>
      <c r="F19" s="8" t="s">
        <v>48</v>
      </c>
      <c r="G19" s="8" t="s">
        <v>48</v>
      </c>
      <c r="H19" s="8">
        <v>500</v>
      </c>
    </row>
    <row r="20" spans="1:8" ht="14.25" customHeight="1" x14ac:dyDescent="0.35">
      <c r="A20" s="8" t="s">
        <v>16</v>
      </c>
      <c r="B20" s="12" t="s">
        <v>44</v>
      </c>
      <c r="D20" s="11"/>
      <c r="E20" s="11"/>
    </row>
    <row r="21" spans="1:8" ht="14.25" customHeight="1" x14ac:dyDescent="0.35">
      <c r="A21" s="8" t="s">
        <v>17</v>
      </c>
      <c r="B21" s="12" t="s">
        <v>44</v>
      </c>
      <c r="C21" s="8" t="s">
        <v>104</v>
      </c>
      <c r="D21" s="11" t="s">
        <v>105</v>
      </c>
      <c r="E21" s="11" t="s">
        <v>106</v>
      </c>
      <c r="F21" s="8" t="s">
        <v>52</v>
      </c>
      <c r="G21" s="8" t="s">
        <v>48</v>
      </c>
      <c r="H21" s="8">
        <v>473</v>
      </c>
    </row>
    <row r="22" spans="1:8" ht="14.25" customHeight="1" x14ac:dyDescent="0.35">
      <c r="A22" s="8" t="s">
        <v>18</v>
      </c>
      <c r="B22" s="12" t="s">
        <v>107</v>
      </c>
      <c r="C22" s="8" t="s">
        <v>108</v>
      </c>
      <c r="D22" s="11" t="s">
        <v>109</v>
      </c>
      <c r="E22" s="11" t="s">
        <v>110</v>
      </c>
      <c r="F22" s="8" t="s">
        <v>52</v>
      </c>
      <c r="G22" s="8" t="s">
        <v>52</v>
      </c>
      <c r="H22" s="8">
        <v>400</v>
      </c>
    </row>
    <row r="23" spans="1:8" ht="14.25" customHeight="1" x14ac:dyDescent="0.35">
      <c r="A23" s="8" t="s">
        <v>19</v>
      </c>
      <c r="B23" s="12" t="s">
        <v>107</v>
      </c>
      <c r="C23" s="8" t="s">
        <v>111</v>
      </c>
      <c r="D23" s="11" t="s">
        <v>112</v>
      </c>
      <c r="E23" s="11" t="s">
        <v>113</v>
      </c>
      <c r="F23" s="8" t="s">
        <v>52</v>
      </c>
      <c r="G23" s="8" t="s">
        <v>52</v>
      </c>
      <c r="H23" s="8">
        <v>370</v>
      </c>
    </row>
    <row r="24" spans="1:8" ht="14.25" customHeight="1" x14ac:dyDescent="0.35">
      <c r="A24" s="8" t="s">
        <v>20</v>
      </c>
      <c r="B24" s="12" t="s">
        <v>114</v>
      </c>
      <c r="C24" s="8" t="s">
        <v>115</v>
      </c>
      <c r="D24" s="11" t="s">
        <v>116</v>
      </c>
      <c r="E24" s="11" t="s">
        <v>117</v>
      </c>
      <c r="F24" s="8" t="s">
        <v>56</v>
      </c>
      <c r="G24" s="8" t="s">
        <v>52</v>
      </c>
      <c r="H24" s="8">
        <v>340</v>
      </c>
    </row>
    <row r="25" spans="1:8" ht="14.25" customHeight="1" x14ac:dyDescent="0.35">
      <c r="A25" s="8" t="s">
        <v>21</v>
      </c>
      <c r="B25" s="12" t="s">
        <v>118</v>
      </c>
      <c r="C25" s="8" t="s">
        <v>119</v>
      </c>
      <c r="D25" s="11" t="s">
        <v>120</v>
      </c>
      <c r="E25" s="11" t="s">
        <v>87</v>
      </c>
      <c r="F25" s="8" t="s">
        <v>48</v>
      </c>
      <c r="G25" s="8" t="s">
        <v>48</v>
      </c>
      <c r="H25" s="8">
        <v>592</v>
      </c>
    </row>
    <row r="26" spans="1:8" ht="14.25" customHeight="1" x14ac:dyDescent="0.35">
      <c r="A26" s="8" t="s">
        <v>22</v>
      </c>
      <c r="B26" s="12" t="s">
        <v>121</v>
      </c>
      <c r="C26" s="8" t="s">
        <v>122</v>
      </c>
      <c r="D26" s="11" t="s">
        <v>123</v>
      </c>
      <c r="E26" s="11" t="s">
        <v>124</v>
      </c>
      <c r="F26" s="8" t="s">
        <v>52</v>
      </c>
      <c r="G26" s="8" t="s">
        <v>52</v>
      </c>
      <c r="H26" s="8">
        <v>400</v>
      </c>
    </row>
    <row r="27" spans="1:8" ht="14.25" customHeight="1" x14ac:dyDescent="0.35">
      <c r="A27" s="8" t="s">
        <v>23</v>
      </c>
      <c r="B27" s="12" t="s">
        <v>125</v>
      </c>
      <c r="C27" s="8" t="s">
        <v>126</v>
      </c>
      <c r="D27" s="11"/>
      <c r="E27" s="11" t="s">
        <v>127</v>
      </c>
      <c r="H27" s="8">
        <f>SUM(H2:H26)</f>
        <v>14977</v>
      </c>
    </row>
    <row r="28" spans="1:8" ht="14.25" customHeight="1" x14ac:dyDescent="0.35">
      <c r="A28" s="8" t="s">
        <v>81</v>
      </c>
      <c r="B28" s="12" t="s">
        <v>128</v>
      </c>
      <c r="C28" s="8" t="s">
        <v>129</v>
      </c>
      <c r="D28" s="11"/>
      <c r="E28" s="11"/>
    </row>
    <row r="29" spans="1:8" ht="14.25" customHeight="1" x14ac:dyDescent="0.35"/>
    <row r="30" spans="1:8" ht="14.25" customHeight="1" x14ac:dyDescent="0.35"/>
    <row r="31" spans="1:8" ht="14.25" customHeight="1" x14ac:dyDescent="0.35"/>
    <row r="32" spans="1:8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4">
    <mergeCell ref="A1:B1"/>
    <mergeCell ref="A7:B7"/>
    <mergeCell ref="A9:B9"/>
    <mergeCell ref="A15:B1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defaultColWidth="14.453125" defaultRowHeight="15" customHeight="1" x14ac:dyDescent="0.35"/>
  <cols>
    <col min="1" max="1" width="30.54296875" customWidth="1"/>
    <col min="2" max="3" width="15.08984375" customWidth="1"/>
    <col min="4" max="4" width="37.08984375" customWidth="1"/>
    <col min="5" max="5" width="18.08984375" customWidth="1"/>
    <col min="6" max="6" width="24.81640625" customWidth="1"/>
    <col min="7" max="7" width="35.08984375" customWidth="1"/>
    <col min="8" max="26" width="8.7265625" customWidth="1"/>
  </cols>
  <sheetData>
    <row r="1" spans="1:8" ht="14.25" customHeight="1" x14ac:dyDescent="0.35">
      <c r="A1" s="8" t="s">
        <v>130</v>
      </c>
      <c r="B1" s="8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39</v>
      </c>
    </row>
    <row r="2" spans="1:8" ht="14.25" customHeight="1" x14ac:dyDescent="0.35">
      <c r="A2" s="8" t="s">
        <v>25</v>
      </c>
      <c r="B2" s="8" t="s">
        <v>136</v>
      </c>
      <c r="D2" s="8" t="s">
        <v>137</v>
      </c>
      <c r="E2" s="8" t="s">
        <v>48</v>
      </c>
    </row>
    <row r="3" spans="1:8" ht="14.25" customHeight="1" x14ac:dyDescent="0.35">
      <c r="A3" s="8" t="s">
        <v>26</v>
      </c>
      <c r="B3" s="8" t="s">
        <v>138</v>
      </c>
      <c r="C3" s="8">
        <v>3732</v>
      </c>
      <c r="D3" s="8" t="s">
        <v>139</v>
      </c>
      <c r="F3" s="8" t="s">
        <v>140</v>
      </c>
      <c r="G3" s="11" t="s">
        <v>141</v>
      </c>
    </row>
    <row r="4" spans="1:8" ht="14.25" customHeight="1" x14ac:dyDescent="0.35">
      <c r="A4" s="8" t="s">
        <v>27</v>
      </c>
      <c r="B4" s="8" t="s">
        <v>142</v>
      </c>
      <c r="C4" s="8">
        <v>45229</v>
      </c>
      <c r="D4" s="8" t="s">
        <v>48</v>
      </c>
      <c r="E4" s="8" t="s">
        <v>48</v>
      </c>
      <c r="G4" s="11" t="s">
        <v>143</v>
      </c>
    </row>
    <row r="5" spans="1:8" ht="14.25" customHeight="1" x14ac:dyDescent="0.35">
      <c r="A5" s="8" t="s">
        <v>28</v>
      </c>
      <c r="B5" s="8" t="s">
        <v>144</v>
      </c>
      <c r="C5" s="8">
        <v>106890</v>
      </c>
      <c r="D5" s="8" t="s">
        <v>48</v>
      </c>
      <c r="E5" s="8" t="s">
        <v>48</v>
      </c>
      <c r="G5" s="11" t="s">
        <v>143</v>
      </c>
    </row>
    <row r="6" spans="1:8" ht="14.25" customHeight="1" x14ac:dyDescent="0.35">
      <c r="A6" s="8" t="s">
        <v>29</v>
      </c>
      <c r="B6" s="8" t="s">
        <v>145</v>
      </c>
      <c r="C6" s="8">
        <v>102938</v>
      </c>
      <c r="D6" s="8" t="s">
        <v>48</v>
      </c>
      <c r="E6" s="8" t="s">
        <v>48</v>
      </c>
      <c r="G6" s="11" t="s">
        <v>143</v>
      </c>
    </row>
    <row r="7" spans="1:8" ht="14.25" customHeight="1" x14ac:dyDescent="0.35">
      <c r="A7" s="8" t="s">
        <v>30</v>
      </c>
      <c r="B7" s="8" t="s">
        <v>146</v>
      </c>
      <c r="D7" s="8" t="s">
        <v>48</v>
      </c>
      <c r="E7" s="8" t="s">
        <v>147</v>
      </c>
      <c r="F7" s="8" t="s">
        <v>148</v>
      </c>
      <c r="G7" s="8" t="s">
        <v>149</v>
      </c>
      <c r="H7" s="8" t="s">
        <v>150</v>
      </c>
    </row>
    <row r="8" spans="1:8" ht="14.25" customHeight="1" x14ac:dyDescent="0.35">
      <c r="A8" s="8" t="s">
        <v>31</v>
      </c>
      <c r="B8" s="8" t="s">
        <v>151</v>
      </c>
      <c r="C8" s="8">
        <v>49486</v>
      </c>
      <c r="D8" s="8" t="s">
        <v>48</v>
      </c>
      <c r="E8" s="8" t="s">
        <v>48</v>
      </c>
      <c r="G8" s="11" t="s">
        <v>143</v>
      </c>
    </row>
    <row r="9" spans="1:8" ht="14.25" customHeight="1" x14ac:dyDescent="0.35">
      <c r="A9" s="8" t="s">
        <v>32</v>
      </c>
      <c r="B9" s="8" t="s">
        <v>152</v>
      </c>
      <c r="C9" s="8">
        <v>1786</v>
      </c>
      <c r="D9" s="8" t="s">
        <v>153</v>
      </c>
      <c r="F9" s="8" t="s">
        <v>154</v>
      </c>
      <c r="G9" s="11" t="s">
        <v>155</v>
      </c>
    </row>
    <row r="10" spans="1:8" ht="14.25" customHeight="1" x14ac:dyDescent="0.35">
      <c r="A10" s="8" t="s">
        <v>33</v>
      </c>
      <c r="B10" s="8" t="s">
        <v>156</v>
      </c>
      <c r="C10" s="8">
        <v>5845</v>
      </c>
      <c r="D10" s="8" t="s">
        <v>157</v>
      </c>
      <c r="E10" s="8" t="s">
        <v>158</v>
      </c>
      <c r="G10" s="11" t="s">
        <v>159</v>
      </c>
    </row>
    <row r="11" spans="1:8" ht="14.25" customHeight="1" x14ac:dyDescent="0.35">
      <c r="A11" s="8" t="s">
        <v>34</v>
      </c>
      <c r="B11" s="8" t="s">
        <v>160</v>
      </c>
      <c r="C11" s="8" t="s">
        <v>52</v>
      </c>
      <c r="D11" s="8" t="s">
        <v>161</v>
      </c>
      <c r="E11" s="8" t="s">
        <v>52</v>
      </c>
    </row>
    <row r="12" spans="1:8" ht="14.25" customHeight="1" x14ac:dyDescent="0.35">
      <c r="A12" s="8" t="s">
        <v>35</v>
      </c>
      <c r="B12" s="8" t="s">
        <v>162</v>
      </c>
      <c r="C12" s="11" t="s">
        <v>163</v>
      </c>
      <c r="D12" s="8" t="s">
        <v>164</v>
      </c>
      <c r="E12" s="8" t="s">
        <v>48</v>
      </c>
      <c r="F12" s="8" t="s">
        <v>52</v>
      </c>
      <c r="G12" s="11" t="s">
        <v>165</v>
      </c>
    </row>
    <row r="13" spans="1:8" ht="14.25" customHeight="1" x14ac:dyDescent="0.35"/>
    <row r="14" spans="1:8" ht="14.25" customHeight="1" x14ac:dyDescent="0.35"/>
    <row r="15" spans="1:8" ht="14.25" customHeight="1" x14ac:dyDescent="0.35"/>
    <row r="16" spans="1:8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Дистанции</vt:lpstr>
      <vt:lpstr>Фактории</vt:lpstr>
      <vt:lpstr>Хабы</vt:lpstr>
      <vt:lpstr>Дистанции!ExternalData_1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forever flud</cp:lastModifiedBy>
  <dcterms:modified xsi:type="dcterms:W3CDTF">2026-05-05T23:10:30Z</dcterms:modified>
</cp:coreProperties>
</file>